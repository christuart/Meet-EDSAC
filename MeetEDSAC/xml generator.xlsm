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5" windowWidth="20115" windowHeight="7755"/>
  </bookViews>
  <sheets>
    <sheet name="EDSAC" sheetId="3" r:id="rId1"/>
    <sheet name="Chassis Definitions" sheetId="1" r:id="rId2"/>
    <sheet name="Valves" sheetId="2" r:id="rId3"/>
    <sheet name="Rows" sheetId="4" r:id="rId4"/>
    <sheet name="Racks" sheetId="5" r:id="rId5"/>
    <sheet name="Chassis" sheetId="6" r:id="rId6"/>
  </sheets>
  <functionGroups builtInGroupCount="17"/>
  <calcPr calcId="145621" refMode="R1C1"/>
</workbook>
</file>

<file path=xl/calcChain.xml><?xml version="1.0" encoding="utf-8"?>
<calcChain xmlns="http://schemas.openxmlformats.org/spreadsheetml/2006/main">
  <c r="G52" i="2" l="1"/>
  <c r="C52" i="2" s="1"/>
  <c r="G51" i="2"/>
  <c r="C51" i="2" s="1"/>
  <c r="G50" i="2"/>
  <c r="C50" i="2" s="1"/>
  <c r="G49" i="2"/>
  <c r="C49" i="2" s="1"/>
  <c r="G48" i="2"/>
  <c r="C48" i="2" s="1"/>
  <c r="G47" i="2"/>
  <c r="C47" i="2" s="1"/>
  <c r="G46" i="2"/>
  <c r="C46" i="2" s="1"/>
  <c r="G45" i="2"/>
  <c r="C45" i="2" s="1"/>
  <c r="G44" i="2"/>
  <c r="C44" i="2" s="1"/>
  <c r="G43" i="2"/>
  <c r="C43" i="2" s="1"/>
  <c r="D43" i="2"/>
  <c r="D44" i="2" s="1"/>
  <c r="D45" i="2" s="1"/>
  <c r="D46" i="2" s="1"/>
  <c r="D47" i="2" s="1"/>
  <c r="D48" i="2" s="1"/>
  <c r="D49" i="2" s="1"/>
  <c r="D50" i="2" s="1"/>
  <c r="D51" i="2" s="1"/>
  <c r="D52" i="2" s="1"/>
  <c r="G42" i="2"/>
  <c r="C42" i="2" s="1"/>
  <c r="G41" i="2"/>
  <c r="C41" i="2" s="1"/>
  <c r="G40" i="2"/>
  <c r="C40" i="2" s="1"/>
  <c r="G39" i="2"/>
  <c r="C39" i="2" s="1"/>
  <c r="G38" i="2"/>
  <c r="C38" i="2" s="1"/>
  <c r="G37" i="2"/>
  <c r="C37" i="2" s="1"/>
  <c r="G36" i="2"/>
  <c r="C36" i="2" s="1"/>
  <c r="G35" i="2"/>
  <c r="C35" i="2" s="1"/>
  <c r="G34" i="2"/>
  <c r="C34" i="2" s="1"/>
  <c r="G33" i="2"/>
  <c r="C33" i="2" s="1"/>
  <c r="G32" i="2"/>
  <c r="C32" i="2" s="1"/>
  <c r="G31" i="2"/>
  <c r="C31" i="2" s="1"/>
  <c r="G30" i="2"/>
  <c r="C30" i="2" s="1"/>
  <c r="D30" i="2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G29" i="2"/>
  <c r="C29" i="2" s="1"/>
  <c r="G20" i="2"/>
  <c r="C20" i="2" s="1"/>
  <c r="G21" i="2"/>
  <c r="C21" i="2" s="1"/>
  <c r="G22" i="2"/>
  <c r="C22" i="2" s="1"/>
  <c r="G23" i="2"/>
  <c r="C23" i="2" s="1"/>
  <c r="G24" i="2"/>
  <c r="C24" i="2" s="1"/>
  <c r="G25" i="2"/>
  <c r="C25" i="2" s="1"/>
  <c r="G26" i="2"/>
  <c r="C26" i="2" s="1"/>
  <c r="G27" i="2"/>
  <c r="C27" i="2" s="1"/>
  <c r="G28" i="2"/>
  <c r="C28" i="2" s="1"/>
  <c r="G19" i="2"/>
  <c r="C19" i="2" s="1"/>
  <c r="D19" i="2"/>
  <c r="D20" i="2" s="1"/>
  <c r="D21" i="2" s="1"/>
  <c r="D22" i="2" s="1"/>
  <c r="D23" i="2" s="1"/>
  <c r="D24" i="2" s="1"/>
  <c r="D25" i="2" s="1"/>
  <c r="D26" i="2" s="1"/>
  <c r="D27" i="2" s="1"/>
  <c r="D28" i="2" s="1"/>
  <c r="G6" i="2"/>
  <c r="C6" i="2" s="1"/>
  <c r="G7" i="2"/>
  <c r="C7" i="2" s="1"/>
  <c r="G8" i="2"/>
  <c r="C8" i="2" s="1"/>
  <c r="G9" i="2"/>
  <c r="C9" i="2" s="1"/>
  <c r="G10" i="2"/>
  <c r="C10" i="2" s="1"/>
  <c r="G11" i="2"/>
  <c r="C11" i="2" s="1"/>
  <c r="G12" i="2"/>
  <c r="C12" i="2" s="1"/>
  <c r="G13" i="2"/>
  <c r="C13" i="2" s="1"/>
  <c r="G14" i="2"/>
  <c r="C14" i="2" s="1"/>
  <c r="G15" i="2"/>
  <c r="C15" i="2" s="1"/>
  <c r="G16" i="2"/>
  <c r="C16" i="2" s="1"/>
  <c r="G17" i="2"/>
  <c r="C17" i="2" s="1"/>
  <c r="G18" i="2"/>
  <c r="C18" i="2" s="1"/>
  <c r="G5" i="2"/>
  <c r="C5" i="2" s="1"/>
  <c r="D6" i="2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C7" i="4"/>
  <c r="C6" i="4"/>
  <c r="C5" i="4"/>
  <c r="D16" i="5"/>
  <c r="D8" i="5"/>
  <c r="D15" i="5"/>
  <c r="D7" i="5"/>
  <c r="D14" i="5"/>
  <c r="D13" i="5"/>
  <c r="D12" i="5"/>
  <c r="D11" i="5"/>
  <c r="D9" i="5"/>
  <c r="I46" i="6"/>
  <c r="I38" i="6"/>
  <c r="I45" i="6"/>
  <c r="I37" i="6"/>
  <c r="I44" i="6"/>
  <c r="I36" i="6"/>
  <c r="I43" i="6"/>
  <c r="I35" i="6"/>
  <c r="I42" i="6"/>
  <c r="I34" i="6"/>
  <c r="I41" i="6"/>
  <c r="I33" i="6"/>
  <c r="I40" i="6"/>
  <c r="I39" i="6"/>
  <c r="D10" i="5" s="1"/>
  <c r="I32" i="6"/>
  <c r="I24" i="6"/>
  <c r="I31" i="6"/>
  <c r="I23" i="6"/>
  <c r="I30" i="6"/>
  <c r="I22" i="6"/>
  <c r="I29" i="6"/>
  <c r="I21" i="6"/>
  <c r="I28" i="6"/>
  <c r="I20" i="6"/>
  <c r="I26" i="6"/>
  <c r="I27" i="6"/>
  <c r="I19" i="6"/>
  <c r="I25" i="6"/>
  <c r="D6" i="5" s="1"/>
  <c r="I18" i="6"/>
  <c r="I10" i="6"/>
  <c r="I17" i="6"/>
  <c r="I9" i="6"/>
  <c r="I16" i="6"/>
  <c r="I8" i="6"/>
  <c r="I15" i="6"/>
  <c r="I7" i="6"/>
  <c r="I14" i="6"/>
  <c r="I6" i="6"/>
  <c r="I13" i="6"/>
  <c r="I5" i="6"/>
  <c r="I12" i="6"/>
  <c r="I11" i="6"/>
  <c r="D5" i="5" s="1"/>
  <c r="F52" i="2"/>
  <c r="F51" i="2"/>
  <c r="F43" i="2"/>
  <c r="F35" i="2"/>
  <c r="F27" i="2"/>
  <c r="F19" i="2"/>
  <c r="F11" i="2"/>
  <c r="F50" i="2"/>
  <c r="F42" i="2"/>
  <c r="F34" i="2"/>
  <c r="F26" i="2"/>
  <c r="F18" i="2"/>
  <c r="F10" i="2"/>
  <c r="F49" i="2"/>
  <c r="F41" i="2"/>
  <c r="F33" i="2"/>
  <c r="F25" i="2"/>
  <c r="F17" i="2"/>
  <c r="F9" i="2"/>
  <c r="F40" i="2"/>
  <c r="F24" i="2"/>
  <c r="F8" i="2"/>
  <c r="F48" i="2"/>
  <c r="F32" i="2"/>
  <c r="F16" i="2"/>
  <c r="F47" i="2"/>
  <c r="F39" i="2"/>
  <c r="F31" i="2"/>
  <c r="F23" i="2"/>
  <c r="F15" i="2"/>
  <c r="F7" i="2"/>
  <c r="F46" i="2"/>
  <c r="F38" i="2"/>
  <c r="F30" i="2"/>
  <c r="F22" i="2"/>
  <c r="F14" i="2"/>
  <c r="F6" i="2"/>
  <c r="F45" i="2"/>
  <c r="F37" i="2"/>
  <c r="F29" i="2"/>
  <c r="F21" i="2"/>
  <c r="F13" i="2"/>
  <c r="F5" i="2"/>
  <c r="F44" i="2"/>
  <c r="F36" i="2"/>
  <c r="F28" i="2"/>
  <c r="F20" i="2"/>
  <c r="F12" i="2"/>
  <c r="D6" i="1"/>
  <c r="D5" i="1"/>
  <c r="F5" i="1" s="1"/>
  <c r="B2" i="3"/>
  <c r="F6" i="1"/>
</calcChain>
</file>

<file path=xl/sharedStrings.xml><?xml version="1.0" encoding="utf-8"?>
<sst xmlns="http://schemas.openxmlformats.org/spreadsheetml/2006/main" count="272" uniqueCount="53">
  <si>
    <t>Chassis Definitions</t>
  </si>
  <si>
    <t>Type</t>
  </si>
  <si>
    <t>01</t>
  </si>
  <si>
    <t>Testing Points</t>
  </si>
  <si>
    <t>1</t>
  </si>
  <si>
    <t>Valves</t>
  </si>
  <si>
    <t>chassistype</t>
  </si>
  <si>
    <t>valvetype</t>
  </si>
  <si>
    <t>valvex</t>
  </si>
  <si>
    <t>valvey</t>
  </si>
  <si>
    <t>&lt;valve&gt;</t>
  </si>
  <si>
    <t>&lt;chassisdefinition&gt;</t>
  </si>
  <si>
    <t>There is a limit of 5,000 valves in the code. This can be raised if it turns out to be necessary!</t>
  </si>
  <si>
    <t>02</t>
  </si>
  <si>
    <t>4</t>
  </si>
  <si>
    <t>ran#</t>
  </si>
  <si>
    <t>rowname</t>
  </si>
  <si>
    <t>Rear</t>
  </si>
  <si>
    <t>racks</t>
  </si>
  <si>
    <t>racknumber</t>
  </si>
  <si>
    <t>chassis</t>
  </si>
  <si>
    <t>chassisnumber</t>
  </si>
  <si>
    <t>chassisworldlabeltext</t>
  </si>
  <si>
    <t>chassisworldlabelnumber</t>
  </si>
  <si>
    <t>chassisuilabel</t>
  </si>
  <si>
    <t>Memory Unit</t>
  </si>
  <si>
    <t>1/5</t>
  </si>
  <si>
    <t>Storage Regeneration Unit</t>
  </si>
  <si>
    <t>Chassis</t>
  </si>
  <si>
    <t>2/5</t>
  </si>
  <si>
    <t>3/5</t>
  </si>
  <si>
    <t>4/5</t>
  </si>
  <si>
    <t>5/5</t>
  </si>
  <si>
    <t>Things</t>
  </si>
  <si>
    <t>xy</t>
  </si>
  <si>
    <t>a</t>
  </si>
  <si>
    <t>b</t>
  </si>
  <si>
    <t>s</t>
  </si>
  <si>
    <t>c</t>
  </si>
  <si>
    <t>sad</t>
  </si>
  <si>
    <t>g</t>
  </si>
  <si>
    <t>h</t>
  </si>
  <si>
    <t>ah</t>
  </si>
  <si>
    <t>COINASDOINASD</t>
  </si>
  <si>
    <t>asondasd</t>
  </si>
  <si>
    <t>asdna</t>
  </si>
  <si>
    <t>sdnas</t>
  </si>
  <si>
    <t>ansdna</t>
  </si>
  <si>
    <t>as</t>
  </si>
  <si>
    <t>Middle</t>
  </si>
  <si>
    <t>Front</t>
  </si>
  <si>
    <t>Racks</t>
  </si>
  <si>
    <t>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</si>
</sst>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49" fontId="0" fillId="0" borderId="0" xfId="0" quotePrefix="1" applyNumberFormat="1"/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Valves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ValvesFormulae" textlink="">
      <xdr:nvSpPr>
        <xdr:cNvPr id="11" name="Rectangle 10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ow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ack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Chassis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"/>
  <sheetViews>
    <sheetView tabSelected="1" workbookViewId="0">
      <selection activeCell="B2" sqref="B2"/>
    </sheetView>
  </sheetViews>
  <sheetFormatPr defaultRowHeight="15" x14ac:dyDescent="0.25"/>
  <cols>
    <col min="2" max="2" width="48.5703125" customWidth="1"/>
  </cols>
  <sheetData>
    <row r="2" spans="2:2" ht="284.25" customHeight="1" x14ac:dyDescent="0.25">
      <c r="B2" s="4" t="str">
        <f ca="1">EDSAC()</f>
        <v>&lt;?xml version="1.0"?&gt;_x000D_
&lt;EDSAC&gt;_x000D_
&lt;chassisdefinition&gt;_x000D_
	&lt;chassistype&gt;01&lt;/chassistype&gt;_x000D_
	&lt;testingpoints&gt;1&lt;/testingpoints&gt;_x000D_
	&lt;valve&gt;_x000D_
		&lt;valvetype&gt;BigFlat&lt;/valvetype&gt;_x000D_
		&lt;valvex&gt;0.34&lt;/valvex&gt;_x000D_
		&lt;valvey&gt;0.006&lt;/valvey&gt;_x000D_
	&lt;/valve&gt;_x000D_
	&lt;valve&gt;_x000D_
		&lt;valvetype&gt;BigFlat&lt;/valvetype&gt;_x000D_
		&lt;valvex&gt;0.288&lt;/valvex&gt;_x000D_
		&lt;valvey&gt;0.055&lt;/valvey&gt;_x000D_
	&lt;/valve&gt;_x000D_
	&lt;valve&gt;_x000D_
		&lt;valvetype&gt;BigShiny&lt;/valvetype&gt;_x000D_
		&lt;valvex&gt;0.236&lt;/valvex&gt;_x000D_
		&lt;valvey&gt;0.006&lt;/valvey&gt;_x000D_
	&lt;/valve&gt;_x000D_
	&lt;valve&gt;_x000D_
		&lt;valvetype&gt;BigShiny&lt;/valvetype&gt;_x000D_
		&lt;valvex&gt;0.184&lt;/valvex&gt;_x000D_
		&lt;valvey&gt;0.006&lt;/valvey&gt;_x000D_
	&lt;/valve&gt;_x000D_
	&lt;valve&gt;_x000D_
		&lt;valvetype&gt;BigShiny&lt;/valvetype&gt;_x000D_
		&lt;valvex&gt;0.132&lt;/valvex&gt;_x000D_
		&lt;valvey&gt;0.006&lt;/valvey&gt;_x000D_
	&lt;/valve&gt;_x000D_
	&lt;valve&gt;_x000D_
		&lt;valvetype&gt;BigFlat&lt;/valvetype&gt;_x000D_
		&lt;valvex&gt;0.08&lt;/valvex&gt;_x000D_
		&lt;valvey&gt;0.006&lt;/valvey&gt;_x000D_
	&lt;/valve&gt;_x000D_
	&lt;valve&gt;_x000D_
		&lt;valvetype&gt;BigFlat&lt;/valvetype&gt;_x000D_
		&lt;valvex&gt;0.028&lt;/valvex&gt;_x000D_
		&lt;valvey&gt;0.006&lt;/valvey&gt;_x000D_
	&lt;/valve&gt;_x000D_
	&lt;valve&gt;_x000D_
		&lt;valvetype&gt;BigShiny&lt;/valvetype&gt;_x000D_
		&lt;valvex&gt;-0.024&lt;/valvex&gt;_x000D_
		&lt;valvey&gt;0.006&lt;/valvey&gt;_x000D_
	&lt;/valve&gt;_x000D_
	&lt;valve&gt;_x000D_
		&lt;valvetype&gt;BigShiny&lt;/valvetype&gt;_x000D_
		&lt;valvex&gt;-0.076&lt;/valvex&gt;_x000D_
		&lt;valvey&gt;0.006&lt;/valvey&gt;_x000D_
	&lt;/valve&gt;_x000D_
	&lt;valve&gt;_x000D_
		&lt;valvetype&gt;BigShiny&lt;/valvetype&gt;_x000D_
		&lt;valvex&gt;-0.128&lt;/valvex&gt;_x000D_
		&lt;valvey&gt;0.006&lt;/valvey&gt;_x000D_
	&lt;/valve&gt;_x000D_
	&lt;valve&gt;_x000D_
		&lt;valvetype&gt;BigFlat&lt;/valvetype&gt;_x000D_
		&lt;valvex&gt;-0.18&lt;/valvex&gt;_x000D_
		&lt;valvey&gt;0.006&lt;/valvey&gt;_x000D_
	&lt;/valve&gt;_x000D_
	&lt;valve&gt;_x000D_
		&lt;valvetype&gt;BigFlat&lt;/valvetype&gt;_x000D_
		&lt;valvex&gt;-0.232&lt;/valvex&gt;_x000D_
		&lt;valvey&gt;0.006&lt;/valvey&gt;_x000D_
	&lt;/valve&gt;_x000D_
	&lt;valve&gt;_x000D_
		&lt;valvetype&gt;BigFlat&lt;/valvetype&gt;_x000D_
		&lt;valvex&gt;-0.284&lt;/valvex&gt;_x000D_
		&lt;valvey&gt;0.055&lt;/valvey&gt;_x000D_
	&lt;/valve&gt;_x000D_
	&lt;valve&gt;_x000D_
		&lt;valvetype&gt;BigFlat&lt;/valvetype&gt;_x000D_
		&lt;valvex&gt;-0.336&lt;/valvex&gt;_x000D_
		&lt;valvey&gt;0.006&lt;/valvey&gt;_x000D_
	&lt;/valve&gt;_x000D_
	&lt;valve&gt;_x000D_
		&lt;valvetype&gt;SmallRed&lt;/valvetype&gt;_x000D_
		&lt;valvex&gt;0.21&lt;/valvex&gt;_x000D_
		&lt;valvey&gt;0.055&lt;/valvey&gt;_x000D_
	&lt;/valve&gt;_x000D_
	&lt;valve&gt;_x000D_
		&lt;valvetype&gt;SmallBlack&lt;/valvetype&gt;_x000D_
		&lt;valvex&gt;0.158&lt;/valvex&gt;_x000D_
		&lt;valvey&gt;0.055&lt;/valvey&gt;_x000D_
	&lt;/valve&gt;_x000D_
	&lt;valve&gt;_x000D_
		&lt;valvetype&gt;SmallBlack&lt;/valvetype&gt;_x000D_
		&lt;valvex&gt;0.106&lt;/valvex&gt;_x000D_
		&lt;valvey&gt;0.055&lt;/valvey&gt;_x000D_
	&lt;/valve&gt;_x000D_
	&lt;valve&gt;_x000D_
		&lt;valvetype&gt;SmallBlack&lt;/valvetype&gt;_x000D_
		&lt;valvex&gt;0.054&lt;/valvex&gt;_x000D_
		&lt;valvey&gt;0.055&lt;/valvey&gt;_x000D_
	&lt;/valve&gt;_x000D_
	&lt;valve&gt;_x000D_
		&lt;valvetype&gt;SmallCream&lt;/valvetype&gt;_x000D_
		&lt;valvex&gt;0.002&lt;/valvex&gt;_x000D_
		&lt;valvey&gt;0.055&lt;/valvey&gt;_x000D_
	&lt;/valve&gt;_x000D_
	&lt;valve&gt;_x000D_
		&lt;valvetype&gt;SmallRed&lt;/valvetype&gt;_x000D_
		&lt;valvex&gt;-0.05&lt;/valvex&gt;_x000D_
		&lt;valvey&gt;0.055&lt;/valvey&gt;_x000D_
	&lt;/valve&gt;_x000D_
	&lt;valve&gt;_x000D_
		&lt;valvetype&gt;SmallRed&lt;/valvetype&gt;_x000D_
		&lt;valvex&gt;-0.102&lt;/valvex&gt;_x000D_
		&lt;valvey&gt;0.055&lt;/valvey&gt;_x000D_
	&lt;/valve&gt;_x000D_
	&lt;valve&gt;_x000D_
		&lt;valvetype&gt;SmallRed&lt;/valvetype&gt;_x000D_
		&lt;valvex&gt;-0.154&lt;/valvex&gt;_x000D_
		&lt;valvey&gt;0.055&lt;/valvey&gt;_x000D_
	&lt;/valve&gt;_x000D_
	&lt;valve&gt;_x000D_
		&lt;valvetype&gt;SmallCream&lt;/valvetype&gt;_x000D_
		&lt;valvex&gt;-0.206&lt;/valvex&gt;_x000D_
		&lt;valvey&gt;0.055&lt;/valvey&gt;_x000D_
	&lt;/valve&gt;_x000D_
	&lt;valve&gt;_x000D_
		&lt;valvetype&gt;SmallCream&lt;/valvetype&gt;_x000D_
		&lt;valvex&gt;-0.258&lt;/valvex&gt;_x000D_
		&lt;valvey&gt;0.055&lt;/valvey&gt;_x000D_
	&lt;/valve&gt;_x000D_
&lt;/chassisdefinition&gt;_x000D_
&lt;chassisdefinition&gt;_x000D_
	&lt;chassistype&gt;02&lt;/chassistype&gt;_x000D_
	&lt;testingpoints&gt;4&lt;/testingpoints&gt;_x000D_
	&lt;valve&gt;_x000D_
		&lt;valvetype&gt;BigFlat&lt;/valvetype&gt;_x000D_
		&lt;valvex&gt;0.34&lt;/valvex&gt;_x000D_
		&lt;valvey&gt;0.006&lt;/valvey&gt;_x000D_
	&lt;/valve&gt;_x000D_
	&lt;valve&gt;_x000D_
		&lt;valvetype&gt;BigShiny&lt;/valvetype&gt;_x000D_
		&lt;valvex&gt;0.288&lt;/valvex&gt;_x000D_
		&lt;valvey&gt;0.055&lt;/valvey&gt;_x000D_
	&lt;/valve&gt;_x000D_
	&lt;valve&gt;_x000D_
		&lt;valvetype&gt;BigShiny&lt;/valvetype&gt;_x000D_
		&lt;valvex&gt;0.236&lt;/valvex&gt;_x000D_
		&lt;valvey&gt;0.006&lt;/valvey&gt;_x000D_
	&lt;/valve&gt;_x000D_
	&lt;valve&gt;_x000D_
		&lt;valvetype&gt;BigShiny&lt;/valvetype&gt;_x000D_
		&lt;valvex&gt;0.184&lt;/valvex&gt;_x000D_
		&lt;valvey&gt;0.006&lt;/valvey&gt;_x000D_
	&lt;/valve&gt;_x000D_
	&lt;valve&gt;_x000D_
		&lt;valvetype&gt;BigShiny&lt;/valvetype&gt;_x000D_
		&lt;valvex&gt;0.132&lt;/valvex&gt;_x000D_
		&lt;valvey&gt;0.006&lt;/valvey&gt;_x000D_
	&lt;/valve&gt;_x000D_
	&lt;valve&gt;_x000D_
		&lt;valvetype&gt;BigShiny&lt;/valvetype&gt;_x000D_
		&lt;valvex&gt;0.08&lt;/valvex&gt;_x000D_
		&lt;valvey&gt;0.006&lt;/valvey&gt;_x000D_
	&lt;/valve&gt;_x000D_
	&lt;valve&gt;_x000D_
		&lt;valvetype&gt;BigShiny&lt;/valvetype&gt;_x000D_
		&lt;valvex&gt;0.028&lt;/valvex&gt;_x000D_
		&lt;valvey&gt;0.006&lt;/valvey&gt;_x000D_
	&lt;/valve&gt;_x000D_
	&lt;valve&gt;_x000D_
		&lt;valvetype&gt;BigFlat&lt;/valvetype&gt;_x000D_
		&lt;valvex&gt;-0.024&lt;/valvex&gt;_x000D_
		&lt;valvey&gt;0.006&lt;/valvey&gt;_x000D_
	&lt;/valve&gt;_x000D_
	&lt;valve&gt;_x000D_
		&lt;valvetype&gt;BigShiny&lt;/valvetype&gt;_x000D_
		&lt;valvex&gt;-0.076&lt;/valvex&gt;_x000D_
		&lt;valvey&gt;0.006&lt;/valvey&gt;_x000D_
	&lt;/valve&gt;_x000D_
	&lt;valve&gt;_x000D_
		&lt;valvetype&gt;BigFlat&lt;/valvetype&gt;_x000D_
		&lt;valvex&gt;-0.128&lt;/valvex&gt;_x000D_
		&lt;valvey&gt;0.006&lt;/valvey&gt;_x000D_
	&lt;/valve&gt;_x000D_
	&lt;valve&gt;_x000D_
		&lt;valvetype&gt;BigFlat&lt;/valvetype&gt;_x000D_
		&lt;valvex&gt;-0.18&lt;/valvex&gt;_x000D_
		&lt;valvey&gt;0.006&lt;/valvey&gt;_x000D_
	&lt;/valve&gt;_x000D_
	&lt;valve&gt;_x000D_
		&lt;valvetype&gt;BigFlat&lt;/valvetype&gt;_x000D_
		&lt;valvex&gt;-0.232&lt;/valvex&gt;_x000D_
		&lt;valvey&gt;0.006&lt;/valvey&gt;_x000D_
	&lt;/valve&gt;_x000D_
	&lt;valve&gt;_x000D_
		&lt;valvetype&gt;BigFlat&lt;/valvetype&gt;_x000D_
		&lt;valvex&gt;-0.284&lt;/valvex&gt;_x000D_
		&lt;valvey&gt;0.055&lt;/valvey&gt;_x000D_
	&lt;/valve&gt;_x000D_
	&lt;valve&gt;_x000D_
		&lt;valvetype&gt;BigFlat&lt;/valvetype&gt;_x000D_
		&lt;valvex&gt;-0.336&lt;/valvex&gt;_x000D_
		&lt;valvey&gt;0.006&lt;/valvey&gt;_x000D_
	&lt;/valve&gt;_x000D_
	&lt;valve&gt;_x000D_
		&lt;valvetype&gt;SmallRed&lt;/valvetype&gt;_x000D_
		&lt;valvex&gt;0.21&lt;/valvex&gt;_x000D_
		&lt;valvey&gt;0.055&lt;/valvey&gt;_x000D_
	&lt;/valve&gt;_x000D_
	&lt;valve&gt;_x000D_
		&lt;valvetype&gt;SmallCream&lt;/valvetype&gt;_x000D_
		&lt;valvex&gt;0.158&lt;/valvex&gt;_x000D_
		&lt;valvey&gt;0.055&lt;/valvey&gt;_x000D_
	&lt;/valve&gt;_x000D_
	&lt;valve&gt;_x000D_
		&lt;valvetype&gt;SmallRed&lt;/valvetype&gt;_x000D_
		&lt;valvex&gt;0.106&lt;/valvex&gt;_x000D_
		&lt;valvey&gt;0.055&lt;/valvey&gt;_x000D_
	&lt;/valve&gt;_x000D_
	&lt;valve&gt;_x000D_
		&lt;valvetype&gt;SmallRed&lt;/valvetype&gt;_x000D_
		&lt;valvex&gt;0.054&lt;/valvex&gt;_x000D_
		&lt;valvey&gt;0.055&lt;/valvey&gt;_x000D_
	&lt;/valve&gt;_x000D_
	&lt;valve&gt;_x000D_
		&lt;valvetype&gt;SmallCream&lt;/valvetype&gt;_x000D_
		&lt;valvex&gt;0.002&lt;/valvex&gt;_x000D_
		&lt;valvey&gt;0.055&lt;/valvey&gt;_x000D_
	&lt;/valve&gt;_x000D_
	&lt;valve&gt;_x000D_
		&lt;valvetype&gt;SmallRed&lt;/valvetype&gt;_x000D_
		&lt;valvex&gt;-0.05&lt;/valvex&gt;_x000D_
		&lt;valvey&gt;0.055&lt;/valvey&gt;_x000D_
	&lt;/valve&gt;_x000D_
	&lt;valve&gt;_x000D_
		&lt;valvetype&gt;SmallRed&lt;/valvetype&gt;_x000D_
		&lt;valvex&gt;-0.102&lt;/valvex&gt;_x000D_
		&lt;valvey&gt;0.055&lt;/valvey&gt;_x000D_
	&lt;/valve&gt;_x000D_
	&lt;valve&gt;_x000D_
		&lt;valvetype&gt;SmallRed&lt;/valvetype&gt;_x000D_
		&lt;valvex&gt;-0.154&lt;/valvex&gt;_x000D_
		&lt;valvey&gt;0.055&lt;/valvey&gt;_x000D_
	&lt;/valve&gt;_x000D_
	&lt;valve&gt;_x000D_
		&lt;valvetype&gt;SmallCream&lt;/valvetype&gt;_x000D_
		&lt;valvex&gt;-0.206&lt;/valvex&gt;_x000D_
		&lt;valvey&gt;0.055&lt;/valvey&gt;_x000D_
	&lt;/valve&gt;_x000D_
	&lt;valve&gt;_x000D_
		&lt;valvetype&gt;SmallCream&lt;/valvetype&gt;_x000D_
		&lt;valvex&gt;-0.258&lt;/valvex&gt;_x000D_
		&lt;valvey&gt;0.055&lt;/valvey&gt;_x000D_
	&lt;/valve&gt;_x000D_
&lt;/chassisdefinition&gt;_x000D_
&lt;row&gt;_x000D_
	&lt;rowname&gt;Rear&lt;/rowname&gt;_x000D_
	&lt;rack&gt;_x000D_
		&lt;racknumber&gt;1&lt;/racknumber&gt;_x000D_
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	&lt;/rack&gt;_x000D_
	&lt;rack&gt;_x000D_
		&lt;racknumber&gt;2&lt;/racknumber&gt;_x000D_
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	&lt;/rack&gt;_x000D_
	&lt;rack&gt;_x000D_
		&lt;racknumber&gt;3&lt;/racknumber&gt;_x000D_
	&lt;/rack&gt;_x000D_
	&lt;rack&gt;_x000D_
		&lt;racknumber&gt;4&lt;/racknumber&gt;_x000D_
	&lt;/rack&gt;_x000D_
	&lt;rack&gt;_x000D_
		&lt;racknumber&gt;5&lt;/racknumber&gt;_x000D_
	&lt;/rack&gt;_x000D_
&lt;/row&gt;_x000D_
&lt;row&gt;_x000D_
	&lt;rowname&gt;Middle&lt;/rowname&gt;_x000D_
	&lt;rack&gt;_x000D_
		&lt;racknumber&gt;1&lt;/racknumber&gt;_x000D_
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	&lt;/rack&gt;_x000D_
	&lt;rack&gt;_x000D_
		&lt;racknumber&gt;2&lt;/racknumber&gt;_x000D_
	&lt;/rack&gt;_x000D_
	&lt;rack&gt;_x000D_
		&lt;racknumber&gt;3&lt;/racknumber&gt;_x000D_
	&lt;/rack&gt;_x000D_
&lt;/row&gt;_x000D_
&lt;row&gt;_x000D_
	&lt;rowname&gt;Front&lt;/rowname&gt;_x000D_
	&lt;rack&gt;_x000D_
		&lt;racknumber&gt;1&lt;/racknumber&gt;_x000D_
	&lt;/rack&gt;_x000D_
	&lt;rack&gt;_x000D_
		&lt;racknumber&gt;2&lt;/racknumber&gt;_x000D_
	&lt;/rack&gt;_x000D_
	&lt;rack&gt;_x000D_
		&lt;racknumber&gt;3&lt;/racknumber&gt;_x000D_
	&lt;/rack&gt;_x000D_
	&lt;rack&gt;_x000D_
		&lt;racknumber&gt;4&lt;/racknumber&gt;_x000D_
	&lt;/rack&gt;_x000D_
&lt;/row&gt;_x000D_
&lt;/EDSAC&gt;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6"/>
  <sheetViews>
    <sheetView workbookViewId="0">
      <selection activeCell="D2" sqref="D2"/>
    </sheetView>
  </sheetViews>
  <sheetFormatPr defaultRowHeight="15" x14ac:dyDescent="0.25"/>
  <sheetData>
    <row r="2" spans="2:6" x14ac:dyDescent="0.25">
      <c r="B2" t="s">
        <v>0</v>
      </c>
    </row>
    <row r="4" spans="2:6" x14ac:dyDescent="0.25">
      <c r="B4" t="s">
        <v>1</v>
      </c>
      <c r="C4" t="s">
        <v>3</v>
      </c>
      <c r="D4" t="s">
        <v>11</v>
      </c>
    </row>
    <row r="5" spans="2:6" x14ac:dyDescent="0.25">
      <c r="B5" s="2" t="s">
        <v>2</v>
      </c>
      <c r="C5" s="2" t="s">
        <v>4</v>
      </c>
      <c r="D5" t="str">
        <f ca="1">ChassisDefinition(B5,C5)</f>
        <v xml:space="preserve">&lt;chassisdefinition&gt;_x000D_
	&lt;chassistype&gt;01&lt;/chassistype&gt;_x000D_
	&lt;testingpoints&gt;1&lt;/testingpoints&gt;_x000D_
	&lt;valve&gt;_x000D_
		&lt;valvetype&gt;BigFlat&lt;/valvetype&gt;_x000D_
		&lt;valvex&gt;0.34&lt;/valvex&gt;_x000D_
		&lt;valvey&gt;0.006&lt;/valvey&gt;_x000D_
	&lt;/valve&gt;_x000D_
	&lt;valve&gt;_x000D_
		&lt;valvetype&gt;BigFlat&lt;/valvetype&gt;_x000D_
		&lt;valvex&gt;0.288&lt;/valvex&gt;_x000D_
		&lt;valvey&gt;0.055&lt;/valvey&gt;_x000D_
	&lt;/valve&gt;_x000D_
	&lt;valve&gt;_x000D_
		&lt;valvetype&gt;BigShiny&lt;/valvetype&gt;_x000D_
		&lt;valvex&gt;0.236&lt;/valvex&gt;_x000D_
		&lt;valvey&gt;0.006&lt;/valvey&gt;_x000D_
	&lt;/valve&gt;_x000D_
	&lt;valve&gt;_x000D_
		&lt;valvetype&gt;BigShiny&lt;/valvetype&gt;_x000D_
		&lt;valvex&gt;0.184&lt;/valvex&gt;_x000D_
		&lt;valvey&gt;0.006&lt;/valvey&gt;_x000D_
	&lt;/valve&gt;_x000D_
	&lt;valve&gt;_x000D_
		&lt;valvetype&gt;BigShiny&lt;/valvetype&gt;_x000D_
		&lt;valvex&gt;0.132&lt;/valvex&gt;_x000D_
		&lt;valvey&gt;0.006&lt;/valvey&gt;_x000D_
	&lt;/valve&gt;_x000D_
	&lt;valve&gt;_x000D_
		&lt;valvetype&gt;BigFlat&lt;/valvetype&gt;_x000D_
		&lt;valvex&gt;0.08&lt;/valvex&gt;_x000D_
		&lt;valvey&gt;0.006&lt;/valvey&gt;_x000D_
	&lt;/valve&gt;_x000D_
	&lt;valve&gt;_x000D_
		&lt;valvetype&gt;BigFlat&lt;/valvetype&gt;_x000D_
		&lt;valvex&gt;0.028&lt;/valvex&gt;_x000D_
		&lt;valvey&gt;0.006&lt;/valvey&gt;_x000D_
	&lt;/valve&gt;_x000D_
	&lt;valve&gt;_x000D_
		&lt;valvetype&gt;BigShiny&lt;/valvetype&gt;_x000D_
		&lt;valvex&gt;-0.024&lt;/valvex&gt;_x000D_
		&lt;valvey&gt;0.006&lt;/valvey&gt;_x000D_
	&lt;/valve&gt;_x000D_
	&lt;valve&gt;_x000D_
		&lt;valvetype&gt;BigShiny&lt;/valvetype&gt;_x000D_
		&lt;valvex&gt;-0.076&lt;/valvex&gt;_x000D_
		&lt;valvey&gt;0.006&lt;/valvey&gt;_x000D_
	&lt;/valve&gt;_x000D_
	&lt;valve&gt;_x000D_
		&lt;valvetype&gt;BigShiny&lt;/valvetype&gt;_x000D_
		&lt;valvex&gt;-0.128&lt;/valvex&gt;_x000D_
		&lt;valvey&gt;0.006&lt;/valvey&gt;_x000D_
	&lt;/valve&gt;_x000D_
	&lt;valve&gt;_x000D_
		&lt;valvetype&gt;BigFlat&lt;/valvetype&gt;_x000D_
		&lt;valvex&gt;-0.18&lt;/valvex&gt;_x000D_
		&lt;valvey&gt;0.006&lt;/valvey&gt;_x000D_
	&lt;/valve&gt;_x000D_
	&lt;valve&gt;_x000D_
		&lt;valvetype&gt;BigFlat&lt;/valvetype&gt;_x000D_
		&lt;valvex&gt;-0.232&lt;/valvex&gt;_x000D_
		&lt;valvey&gt;0.006&lt;/valvey&gt;_x000D_
	&lt;/valve&gt;_x000D_
	&lt;valve&gt;_x000D_
		&lt;valvetype&gt;BigFlat&lt;/valvetype&gt;_x000D_
		&lt;valvex&gt;-0.284&lt;/valvex&gt;_x000D_
		&lt;valvey&gt;0.055&lt;/valvey&gt;_x000D_
	&lt;/valve&gt;_x000D_
	&lt;valve&gt;_x000D_
		&lt;valvetype&gt;BigFlat&lt;/valvetype&gt;_x000D_
		&lt;valvex&gt;-0.336&lt;/valvex&gt;_x000D_
		&lt;valvey&gt;0.006&lt;/valvey&gt;_x000D_
	&lt;/valve&gt;_x000D_
	&lt;valve&gt;_x000D_
		&lt;valvetype&gt;SmallRed&lt;/valvetype&gt;_x000D_
		&lt;valvex&gt;0.21&lt;/valvex&gt;_x000D_
		&lt;valvey&gt;0.055&lt;/valvey&gt;_x000D_
	&lt;/valve&gt;_x000D_
	&lt;valve&gt;_x000D_
		&lt;valvetype&gt;SmallBlack&lt;/valvetype&gt;_x000D_
		&lt;valvex&gt;0.158&lt;/valvex&gt;_x000D_
		&lt;valvey&gt;0.055&lt;/valvey&gt;_x000D_
	&lt;/valve&gt;_x000D_
	&lt;valve&gt;_x000D_
		&lt;valvetype&gt;SmallBlack&lt;/valvetype&gt;_x000D_
		&lt;valvex&gt;0.106&lt;/valvex&gt;_x000D_
		&lt;valvey&gt;0.055&lt;/valvey&gt;_x000D_
	&lt;/valve&gt;_x000D_
	&lt;valve&gt;_x000D_
		&lt;valvetype&gt;SmallBlack&lt;/valvetype&gt;_x000D_
		&lt;valvex&gt;0.054&lt;/valvex&gt;_x000D_
		&lt;valvey&gt;0.055&lt;/valvey&gt;_x000D_
	&lt;/valve&gt;_x000D_
	&lt;valve&gt;_x000D_
		&lt;valvetype&gt;SmallCream&lt;/valvetype&gt;_x000D_
		&lt;valvex&gt;0.002&lt;/valvex&gt;_x000D_
		&lt;valvey&gt;0.055&lt;/valvey&gt;_x000D_
	&lt;/valve&gt;_x000D_
	&lt;valve&gt;_x000D_
		&lt;valvetype&gt;SmallRed&lt;/valvetype&gt;_x000D_
		&lt;valvex&gt;-0.05&lt;/valvex&gt;_x000D_
		&lt;valvey&gt;0.055&lt;/valvey&gt;_x000D_
	&lt;/valve&gt;_x000D_
	&lt;valve&gt;_x000D_
		&lt;valvetype&gt;SmallRed&lt;/valvetype&gt;_x000D_
		&lt;valvex&gt;-0.102&lt;/valvex&gt;_x000D_
		&lt;valvey&gt;0.055&lt;/valvey&gt;_x000D_
	&lt;/valve&gt;_x000D_
	&lt;valve&gt;_x000D_
		&lt;valvetype&gt;SmallRed&lt;/valvetype&gt;_x000D_
		&lt;valvex&gt;-0.154&lt;/valvex&gt;_x000D_
		&lt;valvey&gt;0.055&lt;/valvey&gt;_x000D_
	&lt;/valve&gt;_x000D_
	&lt;valve&gt;_x000D_
		&lt;valvetype&gt;SmallCream&lt;/valvetype&gt;_x000D_
		&lt;valvex&gt;-0.206&lt;/valvex&gt;_x000D_
		&lt;valvey&gt;0.055&lt;/valvey&gt;_x000D_
	&lt;/valve&gt;_x000D_
	&lt;valve&gt;_x000D_
		&lt;valvetype&gt;SmallCream&lt;/valvetype&gt;_x000D_
		&lt;valvex&gt;-0.258&lt;/valvex&gt;_x000D_
		&lt;valvey&gt;0.055&lt;/valvey&gt;_x000D_
	&lt;/valve&gt;_x000D_
&lt;/chassisdefinition&gt;_x000D_
</v>
      </c>
      <c r="F5" t="str">
        <f ca="1">SINGLEVALVE(C5,D5,E5)</f>
        <v xml:space="preserve">	&lt;valve&gt;_x000D_
		&lt;valvetype&gt;1&lt;/valvetype&gt;_x000D_
		&lt;valvex&gt;&lt;chassisdefinition&gt;_x000D_
	&lt;chassistype&gt;01&lt;/chassistype&gt;_x000D_
	&lt;testingpoints&gt;1&lt;/testingpoints&gt;_x000D_
	&lt;valve&gt;_x000D_
		&lt;valvetype&gt;BigFlat&lt;/valvetype&gt;_x000D_
		&lt;valvex&gt;0.34&lt;/valvex&gt;_x000D_
		&lt;valvey&gt;0.006&lt;/valvey&gt;_x000D_
	&lt;/valve&gt;_x000D_
	&lt;valve&gt;_x000D_
		&lt;valvetype&gt;BigFlat&lt;/valvetype&gt;_x000D_
		&lt;valvex&gt;0.288&lt;/&lt;/valvex&gt;_x000D_
		&lt;valvey&gt;&lt;/valvey&gt;_x000D_
	&lt;/valve&gt;_x000D_
</v>
      </c>
    </row>
    <row r="6" spans="2:6" x14ac:dyDescent="0.25">
      <c r="B6" s="2" t="s">
        <v>13</v>
      </c>
      <c r="C6" s="2" t="s">
        <v>14</v>
      </c>
      <c r="D6" t="str">
        <f ca="1">ChassisDefinition(B6,C6)</f>
        <v xml:space="preserve">&lt;chassisdefinition&gt;_x000D_
	&lt;chassistype&gt;02&lt;/chassistype&gt;_x000D_
	&lt;testingpoints&gt;4&lt;/testingpoints&gt;_x000D_
	&lt;valve&gt;_x000D_
		&lt;valvetype&gt;BigFlat&lt;/valvetype&gt;_x000D_
		&lt;valvex&gt;0.34&lt;/valvex&gt;_x000D_
		&lt;valvey&gt;0.006&lt;/valvey&gt;_x000D_
	&lt;/valve&gt;_x000D_
	&lt;valve&gt;_x000D_
		&lt;valvetype&gt;BigShiny&lt;/valvetype&gt;_x000D_
		&lt;valvex&gt;0.288&lt;/valvex&gt;_x000D_
		&lt;valvey&gt;0.055&lt;/valvey&gt;_x000D_
	&lt;/valve&gt;_x000D_
	&lt;valve&gt;_x000D_
		&lt;valvetype&gt;BigShiny&lt;/valvetype&gt;_x000D_
		&lt;valvex&gt;0.236&lt;/valvex&gt;_x000D_
		&lt;valvey&gt;0.006&lt;/valvey&gt;_x000D_
	&lt;/valve&gt;_x000D_
	&lt;valve&gt;_x000D_
		&lt;valvetype&gt;BigShiny&lt;/valvetype&gt;_x000D_
		&lt;valvex&gt;0.184&lt;/valvex&gt;_x000D_
		&lt;valvey&gt;0.006&lt;/valvey&gt;_x000D_
	&lt;/valve&gt;_x000D_
	&lt;valve&gt;_x000D_
		&lt;valvetype&gt;BigShiny&lt;/valvetype&gt;_x000D_
		&lt;valvex&gt;0.132&lt;/valvex&gt;_x000D_
		&lt;valvey&gt;0.006&lt;/valvey&gt;_x000D_
	&lt;/valve&gt;_x000D_
	&lt;valve&gt;_x000D_
		&lt;valvetype&gt;BigShiny&lt;/valvetype&gt;_x000D_
		&lt;valvex&gt;0.08&lt;/valvex&gt;_x000D_
		&lt;valvey&gt;0.006&lt;/valvey&gt;_x000D_
	&lt;/valve&gt;_x000D_
	&lt;valve&gt;_x000D_
		&lt;valvetype&gt;BigShiny&lt;/valvetype&gt;_x000D_
		&lt;valvex&gt;0.028&lt;/valvex&gt;_x000D_
		&lt;valvey&gt;0.006&lt;/valvey&gt;_x000D_
	&lt;/valve&gt;_x000D_
	&lt;valve&gt;_x000D_
		&lt;valvetype&gt;BigFlat&lt;/valvetype&gt;_x000D_
		&lt;valvex&gt;-0.024&lt;/valvex&gt;_x000D_
		&lt;valvey&gt;0.006&lt;/valvey&gt;_x000D_
	&lt;/valve&gt;_x000D_
	&lt;valve&gt;_x000D_
		&lt;valvetype&gt;BigShiny&lt;/valvetype&gt;_x000D_
		&lt;valvex&gt;-0.076&lt;/valvex&gt;_x000D_
		&lt;valvey&gt;0.006&lt;/valvey&gt;_x000D_
	&lt;/valve&gt;_x000D_
	&lt;valve&gt;_x000D_
		&lt;valvetype&gt;BigFlat&lt;/valvetype&gt;_x000D_
		&lt;valvex&gt;-0.128&lt;/valvex&gt;_x000D_
		&lt;valvey&gt;0.006&lt;/valvey&gt;_x000D_
	&lt;/valve&gt;_x000D_
	&lt;valve&gt;_x000D_
		&lt;valvetype&gt;BigFlat&lt;/valvetype&gt;_x000D_
		&lt;valvex&gt;-0.18&lt;/valvex&gt;_x000D_
		&lt;valvey&gt;0.006&lt;/valvey&gt;_x000D_
	&lt;/valve&gt;_x000D_
	&lt;valve&gt;_x000D_
		&lt;valvetype&gt;BigFlat&lt;/valvetype&gt;_x000D_
		&lt;valvex&gt;-0.232&lt;/valvex&gt;_x000D_
		&lt;valvey&gt;0.006&lt;/valvey&gt;_x000D_
	&lt;/valve&gt;_x000D_
	&lt;valve&gt;_x000D_
		&lt;valvetype&gt;BigFlat&lt;/valvetype&gt;_x000D_
		&lt;valvex&gt;-0.284&lt;/valvex&gt;_x000D_
		&lt;valvey&gt;0.055&lt;/valvey&gt;_x000D_
	&lt;/valve&gt;_x000D_
	&lt;valve&gt;_x000D_
		&lt;valvetype&gt;BigFlat&lt;/valvetype&gt;_x000D_
		&lt;valvex&gt;-0.336&lt;/valvex&gt;_x000D_
		&lt;valvey&gt;0.006&lt;/valvey&gt;_x000D_
	&lt;/valve&gt;_x000D_
	&lt;valve&gt;_x000D_
		&lt;valvetype&gt;SmallRed&lt;/valvetype&gt;_x000D_
		&lt;valvex&gt;0.21&lt;/valvex&gt;_x000D_
		&lt;valvey&gt;0.055&lt;/valvey&gt;_x000D_
	&lt;/valve&gt;_x000D_
	&lt;valve&gt;_x000D_
		&lt;valvetype&gt;SmallCream&lt;/valvetype&gt;_x000D_
		&lt;valvex&gt;0.158&lt;/valvex&gt;_x000D_
		&lt;valvey&gt;0.055&lt;/valvey&gt;_x000D_
	&lt;/valve&gt;_x000D_
	&lt;valve&gt;_x000D_
		&lt;valvetype&gt;SmallRed&lt;/valvetype&gt;_x000D_
		&lt;valvex&gt;0.106&lt;/valvex&gt;_x000D_
		&lt;valvey&gt;0.055&lt;/valvey&gt;_x000D_
	&lt;/valve&gt;_x000D_
	&lt;valve&gt;_x000D_
		&lt;valvetype&gt;SmallRed&lt;/valvetype&gt;_x000D_
		&lt;valvex&gt;0.054&lt;/valvex&gt;_x000D_
		&lt;valvey&gt;0.055&lt;/valvey&gt;_x000D_
	&lt;/valve&gt;_x000D_
	&lt;valve&gt;_x000D_
		&lt;valvetype&gt;SmallCream&lt;/valvetype&gt;_x000D_
		&lt;valvex&gt;0.002&lt;/valvex&gt;_x000D_
		&lt;valvey&gt;0.055&lt;/valvey&gt;_x000D_
	&lt;/valve&gt;_x000D_
	&lt;valve&gt;_x000D_
		&lt;valvetype&gt;SmallRed&lt;/valvetype&gt;_x000D_
		&lt;valvex&gt;-0.05&lt;/valvex&gt;_x000D_
		&lt;valvey&gt;0.055&lt;/valvey&gt;_x000D_
	&lt;/valve&gt;_x000D_
	&lt;valve&gt;_x000D_
		&lt;valvetype&gt;SmallRed&lt;/valvetype&gt;_x000D_
		&lt;valvex&gt;-0.102&lt;/valvex&gt;_x000D_
		&lt;valvey&gt;0.055&lt;/valvey&gt;_x000D_
	&lt;/valve&gt;_x000D_
	&lt;valve&gt;_x000D_
		&lt;valvetype&gt;SmallRed&lt;/valvetype&gt;_x000D_
		&lt;valvex&gt;-0.154&lt;/valvex&gt;_x000D_
		&lt;valvey&gt;0.055&lt;/valvey&gt;_x000D_
	&lt;/valve&gt;_x000D_
	&lt;valve&gt;_x000D_
		&lt;valvetype&gt;SmallCream&lt;/valvetype&gt;_x000D_
		&lt;valvex&gt;-0.206&lt;/valvex&gt;_x000D_
		&lt;valvey&gt;0.055&lt;/valvey&gt;_x000D_
	&lt;/valve&gt;_x000D_
	&lt;valve&gt;_x000D_
		&lt;valvetype&gt;SmallCream&lt;/valvetype&gt;_x000D_
		&lt;valvex&gt;-0.258&lt;/valvex&gt;_x000D_
		&lt;valvey&gt;0.055&lt;/valvey&gt;_x000D_
	&lt;/valve&gt;_x000D_
&lt;/chassisdefinition&gt;_x000D_
</v>
      </c>
      <c r="F6" t="str">
        <f ca="1">SINGLEVALVE(C6,D6,E6)</f>
        <v xml:space="preserve">	&lt;valve&gt;_x000D_
		&lt;valvetype&gt;4&lt;/valvetype&gt;_x000D_
		&lt;valvex&gt;&lt;chassisdefinition&gt;_x000D_
	&lt;chassistype&gt;02&lt;/chassistype&gt;_x000D_
	&lt;testingpoints&gt;4&lt;/testingpoints&gt;_x000D_
	&lt;valve&gt;_x000D_
		&lt;valvetype&gt;BigFlat&lt;/valvetype&gt;_x000D_
		&lt;valvex&gt;0.34&lt;/valvex&gt;_x000D_
		&lt;valvey&gt;0.006&lt;/valvey&gt;_x000D_
	&lt;/valve&gt;_x000D_
	&lt;valve&gt;_x000D_
		&lt;valvetype&gt;BigShiny&lt;/valvetype&gt;_x000D_
		&lt;valvex&gt;0.288&lt;&lt;/valvex&gt;_x000D_
		&lt;valvey&gt;&lt;/valvey&gt;_x000D_
	&lt;/valve&gt;_x000D_
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"/>
  <sheetViews>
    <sheetView workbookViewId="0">
      <selection activeCell="D9" sqref="D9"/>
    </sheetView>
  </sheetViews>
  <sheetFormatPr defaultRowHeight="15" x14ac:dyDescent="0.25"/>
  <cols>
    <col min="6" max="6" width="64.7109375" customWidth="1"/>
  </cols>
  <sheetData>
    <row r="1" spans="1:8" x14ac:dyDescent="0.25">
      <c r="A1">
        <v>5</v>
      </c>
    </row>
    <row r="2" spans="1:8" x14ac:dyDescent="0.25">
      <c r="B2" t="s">
        <v>5</v>
      </c>
      <c r="H2" t="s">
        <v>12</v>
      </c>
    </row>
    <row r="4" spans="1:8" x14ac:dyDescent="0.25">
      <c r="B4" t="s">
        <v>6</v>
      </c>
      <c r="C4" t="s">
        <v>7</v>
      </c>
      <c r="D4" t="s">
        <v>8</v>
      </c>
      <c r="E4" t="s">
        <v>9</v>
      </c>
      <c r="F4" t="s">
        <v>10</v>
      </c>
      <c r="G4" t="s">
        <v>15</v>
      </c>
    </row>
    <row r="5" spans="1:8" x14ac:dyDescent="0.25">
      <c r="B5" s="2" t="s">
        <v>2</v>
      </c>
      <c r="C5" s="3" t="str">
        <f ca="1">IF(G5&lt;1/$A$1,"SmallRed",IF(G5&lt;2/$A$1,"SmallBlack",IF(G5&lt;3/$A$1,"SmallCream",IF(G5&lt;4/$A$1,"BigFlat","BigShiny"))))</f>
        <v>BigFlat</v>
      </c>
      <c r="D5">
        <v>0.34</v>
      </c>
      <c r="E5">
        <v>6.0000000000000001E-3</v>
      </c>
      <c r="F5" t="str">
        <f ca="1">SINGLEVALVE(C5,D5,E5)</f>
        <v xml:space="preserve">	&lt;valve&gt;_x000D_
		&lt;valvetype&gt;BigFlat&lt;/valvetype&gt;_x000D_
		&lt;valvex&gt;0.34&lt;/valvex&gt;_x000D_
		&lt;valvey&gt;0.006&lt;/valvey&gt;_x000D_
	&lt;/valve&gt;_x000D_
</v>
      </c>
      <c r="G5">
        <f ca="1">RANDBETWEEN(6,9)/10</f>
        <v>0.6</v>
      </c>
    </row>
    <row r="6" spans="1:8" x14ac:dyDescent="0.25">
      <c r="B6" s="2" t="s">
        <v>2</v>
      </c>
      <c r="C6" s="3" t="str">
        <f ca="1">IF(G6&lt;1/$A$1,"SmallRed",IF(G6&lt;2/$A$1,"SmallBlack",IF(G6&lt;3/$A$1,"SmallCream",IF(G6&lt;4/$A$1,"BigFlat","BigShiny"))))</f>
        <v>BigFlat</v>
      </c>
      <c r="D6">
        <f>D5-0.052</f>
        <v>0.28800000000000003</v>
      </c>
      <c r="E6">
        <v>5.5E-2</v>
      </c>
      <c r="F6" t="str">
        <f ca="1">SINGLEVALVE(C6,D6,E6)</f>
        <v xml:space="preserve">	&lt;valve&gt;_x000D_
		&lt;valvetype&gt;BigFlat&lt;/valvetype&gt;_x000D_
		&lt;valvex&gt;0.288&lt;/valvex&gt;_x000D_
		&lt;valvey&gt;0.055&lt;/valvey&gt;_x000D_
	&lt;/valve&gt;_x000D_
</v>
      </c>
      <c r="G6">
        <f t="shared" ref="G6:G42" ca="1" si="0">RANDBETWEEN(6,9)/10</f>
        <v>0.7</v>
      </c>
    </row>
    <row r="7" spans="1:8" x14ac:dyDescent="0.25">
      <c r="B7" s="2" t="s">
        <v>2</v>
      </c>
      <c r="C7" s="3" t="str">
        <f t="shared" ref="C7:C28" ca="1" si="1">IF(G7&lt;1/$A$1,"SmallRed",IF(G7&lt;2/$A$1,"SmallBlack",IF(G7&lt;3/$A$1,"SmallCream",IF(G7&lt;4/$A$1,"BigFlat","BigShiny"))))</f>
        <v>BigShiny</v>
      </c>
      <c r="D7">
        <f t="shared" ref="D7:D28" si="2">D6-0.052</f>
        <v>0.23600000000000004</v>
      </c>
      <c r="E7">
        <v>6.0000000000000001E-3</v>
      </c>
      <c r="F7" t="str">
        <f ca="1">SINGLEVALVE(C7,D7,E7)</f>
        <v xml:space="preserve">	&lt;valve&gt;_x000D_
		&lt;valvetype&gt;BigShiny&lt;/valvetype&gt;_x000D_
		&lt;valvex&gt;0.236&lt;/valvex&gt;_x000D_
		&lt;valvey&gt;0.006&lt;/valvey&gt;_x000D_
	&lt;/valve&gt;_x000D_
</v>
      </c>
      <c r="G7">
        <f t="shared" ca="1" si="0"/>
        <v>0.9</v>
      </c>
    </row>
    <row r="8" spans="1:8" x14ac:dyDescent="0.25">
      <c r="B8" s="2" t="s">
        <v>2</v>
      </c>
      <c r="C8" s="3" t="str">
        <f t="shared" ca="1" si="1"/>
        <v>BigShiny</v>
      </c>
      <c r="D8">
        <f t="shared" si="2"/>
        <v>0.18400000000000005</v>
      </c>
      <c r="E8">
        <v>6.0000000000000001E-3</v>
      </c>
      <c r="F8" t="str">
        <f ca="1">SINGLEVALVE(C8,D8,E8)</f>
        <v xml:space="preserve">	&lt;valve&gt;_x000D_
		&lt;valvetype&gt;BigShiny&lt;/valvetype&gt;_x000D_
		&lt;valvex&gt;0.184&lt;/valvex&gt;_x000D_
		&lt;valvey&gt;0.006&lt;/valvey&gt;_x000D_
	&lt;/valve&gt;_x000D_
</v>
      </c>
      <c r="G8">
        <f t="shared" ca="1" si="0"/>
        <v>0.8</v>
      </c>
    </row>
    <row r="9" spans="1:8" x14ac:dyDescent="0.25">
      <c r="B9" s="2" t="s">
        <v>2</v>
      </c>
      <c r="C9" s="3" t="str">
        <f t="shared" ca="1" si="1"/>
        <v>BigShiny</v>
      </c>
      <c r="D9">
        <f t="shared" si="2"/>
        <v>0.13200000000000006</v>
      </c>
      <c r="E9">
        <v>6.0000000000000001E-3</v>
      </c>
      <c r="F9" t="str">
        <f ca="1">SINGLEVALVE(C9,D9,E9)</f>
        <v xml:space="preserve">	&lt;valve&gt;_x000D_
		&lt;valvetype&gt;BigShiny&lt;/valvetype&gt;_x000D_
		&lt;valvex&gt;0.132&lt;/valvex&gt;_x000D_
		&lt;valvey&gt;0.006&lt;/valvey&gt;_x000D_
	&lt;/valve&gt;_x000D_
</v>
      </c>
      <c r="G9">
        <f t="shared" ca="1" si="0"/>
        <v>0.8</v>
      </c>
    </row>
    <row r="10" spans="1:8" x14ac:dyDescent="0.25">
      <c r="B10" s="2" t="s">
        <v>2</v>
      </c>
      <c r="C10" s="3" t="str">
        <f t="shared" ca="1" si="1"/>
        <v>BigFlat</v>
      </c>
      <c r="D10">
        <f t="shared" si="2"/>
        <v>8.0000000000000071E-2</v>
      </c>
      <c r="E10">
        <v>6.0000000000000001E-3</v>
      </c>
      <c r="F10" t="str">
        <f ca="1">SINGLEVALVE(C10,D10,E10)</f>
        <v xml:space="preserve">	&lt;valve&gt;_x000D_
		&lt;valvetype&gt;BigFlat&lt;/valvetype&gt;_x000D_
		&lt;valvex&gt;0.08&lt;/valvex&gt;_x000D_
		&lt;valvey&gt;0.006&lt;/valvey&gt;_x000D_
	&lt;/valve&gt;_x000D_
</v>
      </c>
      <c r="G10">
        <f t="shared" ca="1" si="0"/>
        <v>0.7</v>
      </c>
    </row>
    <row r="11" spans="1:8" x14ac:dyDescent="0.25">
      <c r="B11" s="2" t="s">
        <v>2</v>
      </c>
      <c r="C11" s="3" t="str">
        <f t="shared" ca="1" si="1"/>
        <v>BigFlat</v>
      </c>
      <c r="D11">
        <f t="shared" si="2"/>
        <v>2.8000000000000073E-2</v>
      </c>
      <c r="E11">
        <v>6.0000000000000001E-3</v>
      </c>
      <c r="F11" t="str">
        <f ca="1">SINGLEVALVE(C11,D11,E11)</f>
        <v xml:space="preserve">	&lt;valve&gt;_x000D_
		&lt;valvetype&gt;BigFlat&lt;/valvetype&gt;_x000D_
		&lt;valvex&gt;0.028&lt;/valvex&gt;_x000D_
		&lt;valvey&gt;0.006&lt;/valvey&gt;_x000D_
	&lt;/valve&gt;_x000D_
</v>
      </c>
      <c r="G11">
        <f t="shared" ca="1" si="0"/>
        <v>0.6</v>
      </c>
    </row>
    <row r="12" spans="1:8" x14ac:dyDescent="0.25">
      <c r="B12" s="2" t="s">
        <v>2</v>
      </c>
      <c r="C12" s="3" t="str">
        <f t="shared" ca="1" si="1"/>
        <v>BigShiny</v>
      </c>
      <c r="D12">
        <f t="shared" si="2"/>
        <v>-2.3999999999999924E-2</v>
      </c>
      <c r="E12">
        <v>6.0000000000000001E-3</v>
      </c>
      <c r="F12" t="str">
        <f ca="1">SINGLEVALVE(C12,D12,E12)</f>
        <v xml:space="preserve">	&lt;valve&gt;_x000D_
		&lt;valvetype&gt;BigShiny&lt;/valvetype&gt;_x000D_
		&lt;valvex&gt;-0.024&lt;/valvex&gt;_x000D_
		&lt;valvey&gt;0.006&lt;/valvey&gt;_x000D_
	&lt;/valve&gt;_x000D_
</v>
      </c>
      <c r="G12">
        <f t="shared" ca="1" si="0"/>
        <v>0.8</v>
      </c>
    </row>
    <row r="13" spans="1:8" x14ac:dyDescent="0.25">
      <c r="B13" s="2" t="s">
        <v>2</v>
      </c>
      <c r="C13" s="3" t="str">
        <f t="shared" ca="1" si="1"/>
        <v>BigShiny</v>
      </c>
      <c r="D13">
        <f t="shared" si="2"/>
        <v>-7.5999999999999929E-2</v>
      </c>
      <c r="E13">
        <v>6.0000000000000001E-3</v>
      </c>
      <c r="F13" t="str">
        <f ca="1">SINGLEVALVE(C13,D13,E13)</f>
        <v xml:space="preserve">	&lt;valve&gt;_x000D_
		&lt;valvetype&gt;BigShiny&lt;/valvetype&gt;_x000D_
		&lt;valvex&gt;-0.076&lt;/valvex&gt;_x000D_
		&lt;valvey&gt;0.006&lt;/valvey&gt;_x000D_
	&lt;/valve&gt;_x000D_
</v>
      </c>
      <c r="G13">
        <f t="shared" ca="1" si="0"/>
        <v>0.9</v>
      </c>
    </row>
    <row r="14" spans="1:8" x14ac:dyDescent="0.25">
      <c r="B14" s="2" t="s">
        <v>2</v>
      </c>
      <c r="C14" s="3" t="str">
        <f t="shared" ca="1" si="1"/>
        <v>BigShiny</v>
      </c>
      <c r="D14">
        <f t="shared" si="2"/>
        <v>-0.12799999999999992</v>
      </c>
      <c r="E14">
        <v>6.0000000000000001E-3</v>
      </c>
      <c r="F14" t="str">
        <f ca="1">SINGLEVALVE(C14,D14,E14)</f>
        <v xml:space="preserve">	&lt;valve&gt;_x000D_
		&lt;valvetype&gt;BigShiny&lt;/valvetype&gt;_x000D_
		&lt;valvex&gt;-0.128&lt;/valvex&gt;_x000D_
		&lt;valvey&gt;0.006&lt;/valvey&gt;_x000D_
	&lt;/valve&gt;_x000D_
</v>
      </c>
      <c r="G14">
        <f t="shared" ca="1" si="0"/>
        <v>0.8</v>
      </c>
    </row>
    <row r="15" spans="1:8" x14ac:dyDescent="0.25">
      <c r="B15" s="2" t="s">
        <v>2</v>
      </c>
      <c r="C15" s="3" t="str">
        <f t="shared" ca="1" si="1"/>
        <v>BigFlat</v>
      </c>
      <c r="D15">
        <f t="shared" si="2"/>
        <v>-0.17999999999999991</v>
      </c>
      <c r="E15">
        <v>6.0000000000000001E-3</v>
      </c>
      <c r="F15" t="str">
        <f ca="1">SINGLEVALVE(C15,D15,E15)</f>
        <v xml:space="preserve">	&lt;valve&gt;_x000D_
		&lt;valvetype&gt;BigFlat&lt;/valvetype&gt;_x000D_
		&lt;valvex&gt;-0.18&lt;/valvex&gt;_x000D_
		&lt;valvey&gt;0.006&lt;/valvey&gt;_x000D_
	&lt;/valve&gt;_x000D_
</v>
      </c>
      <c r="G15">
        <f t="shared" ca="1" si="0"/>
        <v>0.7</v>
      </c>
    </row>
    <row r="16" spans="1:8" x14ac:dyDescent="0.25">
      <c r="B16" s="2" t="s">
        <v>2</v>
      </c>
      <c r="C16" s="3" t="str">
        <f t="shared" ca="1" si="1"/>
        <v>BigFlat</v>
      </c>
      <c r="D16">
        <f t="shared" si="2"/>
        <v>-0.2319999999999999</v>
      </c>
      <c r="E16">
        <v>6.0000000000000001E-3</v>
      </c>
      <c r="F16" t="str">
        <f ca="1">SINGLEVALVE(C16,D16,E16)</f>
        <v xml:space="preserve">	&lt;valve&gt;_x000D_
		&lt;valvetype&gt;BigFlat&lt;/valvetype&gt;_x000D_
		&lt;valvex&gt;-0.232&lt;/valvex&gt;_x000D_
		&lt;valvey&gt;0.006&lt;/valvey&gt;_x000D_
	&lt;/valve&gt;_x000D_
</v>
      </c>
      <c r="G16">
        <f t="shared" ca="1" si="0"/>
        <v>0.6</v>
      </c>
    </row>
    <row r="17" spans="2:7" x14ac:dyDescent="0.25">
      <c r="B17" s="2" t="s">
        <v>2</v>
      </c>
      <c r="C17" s="3" t="str">
        <f t="shared" ca="1" si="1"/>
        <v>BigFlat</v>
      </c>
      <c r="D17">
        <f>D16-0.052</f>
        <v>-0.28399999999999992</v>
      </c>
      <c r="E17">
        <v>5.5E-2</v>
      </c>
      <c r="F17" t="str">
        <f ca="1">SINGLEVALVE(C17,D17,E17)</f>
        <v xml:space="preserve">	&lt;valve&gt;_x000D_
		&lt;valvetype&gt;BigFlat&lt;/valvetype&gt;_x000D_
		&lt;valvex&gt;-0.284&lt;/valvex&gt;_x000D_
		&lt;valvey&gt;0.055&lt;/valvey&gt;_x000D_
	&lt;/valve&gt;_x000D_
</v>
      </c>
      <c r="G17">
        <f t="shared" ca="1" si="0"/>
        <v>0.7</v>
      </c>
    </row>
    <row r="18" spans="2:7" x14ac:dyDescent="0.25">
      <c r="B18" s="2" t="s">
        <v>2</v>
      </c>
      <c r="C18" s="3" t="str">
        <f t="shared" ca="1" si="1"/>
        <v>BigFlat</v>
      </c>
      <c r="D18">
        <f t="shared" si="2"/>
        <v>-0.33599999999999991</v>
      </c>
      <c r="E18">
        <v>6.0000000000000001E-3</v>
      </c>
      <c r="F18" t="str">
        <f ca="1">SINGLEVALVE(C18,D18,E18)</f>
        <v xml:space="preserve">	&lt;valve&gt;_x000D_
		&lt;valvetype&gt;BigFlat&lt;/valvetype&gt;_x000D_
		&lt;valvex&gt;-0.336&lt;/valvex&gt;_x000D_
		&lt;valvey&gt;0.006&lt;/valvey&gt;_x000D_
	&lt;/valve&gt;_x000D_
</v>
      </c>
      <c r="G18">
        <f t="shared" ca="1" si="0"/>
        <v>0.7</v>
      </c>
    </row>
    <row r="19" spans="2:7" x14ac:dyDescent="0.25">
      <c r="B19" s="2" t="s">
        <v>2</v>
      </c>
      <c r="C19" s="3" t="str">
        <f t="shared" ca="1" si="1"/>
        <v>SmallRed</v>
      </c>
      <c r="D19">
        <f>D5-2.5*0.052</f>
        <v>0.21000000000000002</v>
      </c>
      <c r="E19">
        <v>5.5E-2</v>
      </c>
      <c r="F19" t="str">
        <f ca="1">SINGLEVALVE(C19,D19,E19)</f>
        <v xml:space="preserve">	&lt;valve&gt;_x000D_
		&lt;valvetype&gt;SmallRed&lt;/valvetype&gt;_x000D_
		&lt;valvex&gt;0.21&lt;/valvex&gt;_x000D_
		&lt;valvey&gt;0.055&lt;/valvey&gt;_x000D_
	&lt;/valve&gt;_x000D_
</v>
      </c>
      <c r="G19">
        <f ca="1">RANDBETWEEN(0,5)/10</f>
        <v>0</v>
      </c>
    </row>
    <row r="20" spans="2:7" x14ac:dyDescent="0.25">
      <c r="B20" s="2" t="s">
        <v>2</v>
      </c>
      <c r="C20" s="3" t="str">
        <f t="shared" ca="1" si="1"/>
        <v>SmallBlack</v>
      </c>
      <c r="D20">
        <f t="shared" si="2"/>
        <v>0.15800000000000003</v>
      </c>
      <c r="E20">
        <v>5.5E-2</v>
      </c>
      <c r="F20" t="str">
        <f ca="1">SINGLEVALVE(C20,D20,E20)</f>
        <v xml:space="preserve">	&lt;valve&gt;_x000D_
		&lt;valvetype&gt;SmallBlack&lt;/valvetype&gt;_x000D_
		&lt;valvex&gt;0.158&lt;/valvex&gt;_x000D_
		&lt;valvey&gt;0.055&lt;/valvey&gt;_x000D_
	&lt;/valve&gt;_x000D_
</v>
      </c>
      <c r="G20">
        <f t="shared" ref="G20:G28" ca="1" si="3">RANDBETWEEN(0,5)/10</f>
        <v>0.2</v>
      </c>
    </row>
    <row r="21" spans="2:7" x14ac:dyDescent="0.25">
      <c r="B21" s="2" t="s">
        <v>2</v>
      </c>
      <c r="C21" s="3" t="str">
        <f t="shared" ca="1" si="1"/>
        <v>SmallBlack</v>
      </c>
      <c r="D21">
        <f t="shared" si="2"/>
        <v>0.10600000000000004</v>
      </c>
      <c r="E21">
        <v>5.5E-2</v>
      </c>
      <c r="F21" t="str">
        <f ca="1">SINGLEVALVE(C21,D21,E21)</f>
        <v xml:space="preserve">	&lt;valve&gt;_x000D_
		&lt;valvetype&gt;SmallBlack&lt;/valvetype&gt;_x000D_
		&lt;valvex&gt;0.106&lt;/valvex&gt;_x000D_
		&lt;valvey&gt;0.055&lt;/valvey&gt;_x000D_
	&lt;/valve&gt;_x000D_
</v>
      </c>
      <c r="G21">
        <f t="shared" ca="1" si="3"/>
        <v>0.3</v>
      </c>
    </row>
    <row r="22" spans="2:7" x14ac:dyDescent="0.25">
      <c r="B22" s="2" t="s">
        <v>2</v>
      </c>
      <c r="C22" s="3" t="str">
        <f t="shared" ca="1" si="1"/>
        <v>SmallBlack</v>
      </c>
      <c r="D22">
        <f t="shared" si="2"/>
        <v>5.4000000000000041E-2</v>
      </c>
      <c r="E22">
        <v>5.5E-2</v>
      </c>
      <c r="F22" t="str">
        <f ca="1">SINGLEVALVE(C22,D22,E22)</f>
        <v xml:space="preserve">	&lt;valve&gt;_x000D_
		&lt;valvetype&gt;SmallBlack&lt;/valvetype&gt;_x000D_
		&lt;valvex&gt;0.054&lt;/valvex&gt;_x000D_
		&lt;valvey&gt;0.055&lt;/valvey&gt;_x000D_
	&lt;/valve&gt;_x000D_
</v>
      </c>
      <c r="G22">
        <f t="shared" ca="1" si="3"/>
        <v>0.3</v>
      </c>
    </row>
    <row r="23" spans="2:7" x14ac:dyDescent="0.25">
      <c r="B23" s="2" t="s">
        <v>2</v>
      </c>
      <c r="C23" s="3" t="str">
        <f t="shared" ca="1" si="1"/>
        <v>SmallCream</v>
      </c>
      <c r="D23">
        <f t="shared" si="2"/>
        <v>2.0000000000000434E-3</v>
      </c>
      <c r="E23">
        <v>5.5E-2</v>
      </c>
      <c r="F23" t="str">
        <f ca="1">SINGLEVALVE(C23,D23,E23)</f>
        <v xml:space="preserve">	&lt;valve&gt;_x000D_
		&lt;valvetype&gt;SmallCream&lt;/valvetype&gt;_x000D_
		&lt;valvex&gt;0.002&lt;/valvex&gt;_x000D_
		&lt;valvey&gt;0.055&lt;/valvey&gt;_x000D_
	&lt;/valve&gt;_x000D_
</v>
      </c>
      <c r="G23">
        <f t="shared" ca="1" si="3"/>
        <v>0.4</v>
      </c>
    </row>
    <row r="24" spans="2:7" x14ac:dyDescent="0.25">
      <c r="B24" s="2" t="s">
        <v>2</v>
      </c>
      <c r="C24" s="3" t="str">
        <f t="shared" ca="1" si="1"/>
        <v>SmallRed</v>
      </c>
      <c r="D24">
        <f t="shared" si="2"/>
        <v>-4.9999999999999954E-2</v>
      </c>
      <c r="E24">
        <v>5.5E-2</v>
      </c>
      <c r="F24" t="str">
        <f ca="1">SINGLEVALVE(C24,D24,E24)</f>
        <v xml:space="preserve">	&lt;valve&gt;_x000D_
		&lt;valvetype&gt;SmallRed&lt;/valvetype&gt;_x000D_
		&lt;valvex&gt;-0.05&lt;/valvex&gt;_x000D_
		&lt;valvey&gt;0.055&lt;/valvey&gt;_x000D_
	&lt;/valve&gt;_x000D_
</v>
      </c>
      <c r="G24">
        <f t="shared" ca="1" si="3"/>
        <v>0</v>
      </c>
    </row>
    <row r="25" spans="2:7" x14ac:dyDescent="0.25">
      <c r="B25" s="2" t="s">
        <v>2</v>
      </c>
      <c r="C25" s="3" t="str">
        <f t="shared" ca="1" si="1"/>
        <v>SmallRed</v>
      </c>
      <c r="D25">
        <f t="shared" si="2"/>
        <v>-0.10199999999999995</v>
      </c>
      <c r="E25">
        <v>5.5E-2</v>
      </c>
      <c r="F25" t="str">
        <f ca="1">SINGLEVALVE(C25,D25,E25)</f>
        <v xml:space="preserve">	&lt;valve&gt;_x000D_
		&lt;valvetype&gt;SmallRed&lt;/valvetype&gt;_x000D_
		&lt;valvex&gt;-0.102&lt;/valvex&gt;_x000D_
		&lt;valvey&gt;0.055&lt;/valvey&gt;_x000D_
	&lt;/valve&gt;_x000D_
</v>
      </c>
      <c r="G25">
        <f t="shared" ca="1" si="3"/>
        <v>0</v>
      </c>
    </row>
    <row r="26" spans="2:7" x14ac:dyDescent="0.25">
      <c r="B26" s="2" t="s">
        <v>2</v>
      </c>
      <c r="C26" s="3" t="str">
        <f t="shared" ca="1" si="1"/>
        <v>SmallRed</v>
      </c>
      <c r="D26">
        <f t="shared" si="2"/>
        <v>-0.15399999999999994</v>
      </c>
      <c r="E26">
        <v>5.5E-2</v>
      </c>
      <c r="F26" t="str">
        <f ca="1">SINGLEVALVE(C26,D26,E26)</f>
        <v xml:space="preserve">	&lt;valve&gt;_x000D_
		&lt;valvetype&gt;SmallRed&lt;/valvetype&gt;_x000D_
		&lt;valvex&gt;-0.154&lt;/valvex&gt;_x000D_
		&lt;valvey&gt;0.055&lt;/valvey&gt;_x000D_
	&lt;/valve&gt;_x000D_
</v>
      </c>
      <c r="G26">
        <f t="shared" ca="1" si="3"/>
        <v>0</v>
      </c>
    </row>
    <row r="27" spans="2:7" x14ac:dyDescent="0.25">
      <c r="B27" s="2" t="s">
        <v>2</v>
      </c>
      <c r="C27" s="3" t="str">
        <f t="shared" ca="1" si="1"/>
        <v>SmallCream</v>
      </c>
      <c r="D27">
        <f t="shared" si="2"/>
        <v>-0.20599999999999993</v>
      </c>
      <c r="E27">
        <v>5.5E-2</v>
      </c>
      <c r="F27" t="str">
        <f ca="1">SINGLEVALVE(C27,D27,E27)</f>
        <v xml:space="preserve">	&lt;valve&gt;_x000D_
		&lt;valvetype&gt;SmallCream&lt;/valvetype&gt;_x000D_
		&lt;valvex&gt;-0.206&lt;/valvex&gt;_x000D_
		&lt;valvey&gt;0.055&lt;/valvey&gt;_x000D_
	&lt;/valve&gt;_x000D_
</v>
      </c>
      <c r="G27">
        <f t="shared" ca="1" si="3"/>
        <v>0.5</v>
      </c>
    </row>
    <row r="28" spans="2:7" x14ac:dyDescent="0.25">
      <c r="B28" s="2" t="s">
        <v>2</v>
      </c>
      <c r="C28" s="3" t="str">
        <f t="shared" ca="1" si="1"/>
        <v>SmallCream</v>
      </c>
      <c r="D28">
        <f t="shared" si="2"/>
        <v>-0.25799999999999995</v>
      </c>
      <c r="E28">
        <v>5.5E-2</v>
      </c>
      <c r="F28" t="str">
        <f ca="1">SINGLEVALVE(C28,D28,E28)</f>
        <v xml:space="preserve">	&lt;valve&gt;_x000D_
		&lt;valvetype&gt;SmallCream&lt;/valvetype&gt;_x000D_
		&lt;valvex&gt;-0.258&lt;/valvex&gt;_x000D_
		&lt;valvey&gt;0.055&lt;/valvey&gt;_x000D_
	&lt;/valve&gt;_x000D_
</v>
      </c>
      <c r="G28">
        <f t="shared" ca="1" si="3"/>
        <v>0.5</v>
      </c>
    </row>
    <row r="29" spans="2:7" x14ac:dyDescent="0.25">
      <c r="B29" s="2" t="s">
        <v>13</v>
      </c>
      <c r="C29" s="3" t="str">
        <f ca="1">IF(G29&lt;1/$A$1,"SmallRed",IF(G29&lt;2/$A$1,"SmallBlack",IF(G29&lt;3/$A$1,"SmallCream",IF(G29&lt;4/$A$1,"BigFlat","BigShiny"))))</f>
        <v>BigFlat</v>
      </c>
      <c r="D29">
        <v>0.34</v>
      </c>
      <c r="E29">
        <v>6.0000000000000001E-3</v>
      </c>
      <c r="F29" t="str">
        <f ca="1">SINGLEVALVE(C29,D29,E29)</f>
        <v xml:space="preserve">	&lt;valve&gt;_x000D_
		&lt;valvetype&gt;BigFlat&lt;/valvetype&gt;_x000D_
		&lt;valvex&gt;0.34&lt;/valvex&gt;_x000D_
		&lt;valvey&gt;0.006&lt;/valvey&gt;_x000D_
	&lt;/valve&gt;_x000D_
</v>
      </c>
      <c r="G29">
        <f ca="1">RANDBETWEEN(6,9)/10</f>
        <v>0.7</v>
      </c>
    </row>
    <row r="30" spans="2:7" x14ac:dyDescent="0.25">
      <c r="B30" s="2" t="s">
        <v>13</v>
      </c>
      <c r="C30" s="3" t="str">
        <f ca="1">IF(G30&lt;1/$A$1,"SmallRed",IF(G30&lt;2/$A$1,"SmallBlack",IF(G30&lt;3/$A$1,"SmallCream",IF(G30&lt;4/$A$1,"BigFlat","BigShiny"))))</f>
        <v>BigShiny</v>
      </c>
      <c r="D30">
        <f>D29-0.052</f>
        <v>0.28800000000000003</v>
      </c>
      <c r="E30">
        <v>5.5E-2</v>
      </c>
      <c r="F30" t="str">
        <f ca="1">SINGLEVALVE(C30,D30,E30)</f>
        <v xml:space="preserve">	&lt;valve&gt;_x000D_
		&lt;valvetype&gt;BigShiny&lt;/valvetype&gt;_x000D_
		&lt;valvex&gt;0.288&lt;/valvex&gt;_x000D_
		&lt;valvey&gt;0.055&lt;/valvey&gt;_x000D_
	&lt;/valve&gt;_x000D_
</v>
      </c>
      <c r="G30">
        <f t="shared" ca="1" si="0"/>
        <v>0.9</v>
      </c>
    </row>
    <row r="31" spans="2:7" x14ac:dyDescent="0.25">
      <c r="B31" s="2" t="s">
        <v>13</v>
      </c>
      <c r="C31" s="3" t="str">
        <f t="shared" ref="C31:C52" ca="1" si="4">IF(G31&lt;1/$A$1,"SmallRed",IF(G31&lt;2/$A$1,"SmallBlack",IF(G31&lt;3/$A$1,"SmallCream",IF(G31&lt;4/$A$1,"BigFlat","BigShiny"))))</f>
        <v>BigShiny</v>
      </c>
      <c r="D31">
        <f t="shared" ref="D31:D52" si="5">D30-0.052</f>
        <v>0.23600000000000004</v>
      </c>
      <c r="E31">
        <v>6.0000000000000001E-3</v>
      </c>
      <c r="F31" t="str">
        <f ca="1">SINGLEVALVE(C31,D31,E31)</f>
        <v xml:space="preserve">	&lt;valve&gt;_x000D_
		&lt;valvetype&gt;BigShiny&lt;/valvetype&gt;_x000D_
		&lt;valvex&gt;0.236&lt;/valvex&gt;_x000D_
		&lt;valvey&gt;0.006&lt;/valvey&gt;_x000D_
	&lt;/valve&gt;_x000D_
</v>
      </c>
      <c r="G31">
        <f t="shared" ca="1" si="0"/>
        <v>0.8</v>
      </c>
    </row>
    <row r="32" spans="2:7" x14ac:dyDescent="0.25">
      <c r="B32" s="2" t="s">
        <v>13</v>
      </c>
      <c r="C32" s="3" t="str">
        <f t="shared" ca="1" si="4"/>
        <v>BigShiny</v>
      </c>
      <c r="D32">
        <f t="shared" si="5"/>
        <v>0.18400000000000005</v>
      </c>
      <c r="E32">
        <v>6.0000000000000001E-3</v>
      </c>
      <c r="F32" t="str">
        <f ca="1">SINGLEVALVE(C32,D32,E32)</f>
        <v xml:space="preserve">	&lt;valve&gt;_x000D_
		&lt;valvetype&gt;BigShiny&lt;/valvetype&gt;_x000D_
		&lt;valvex&gt;0.184&lt;/valvex&gt;_x000D_
		&lt;valvey&gt;0.006&lt;/valvey&gt;_x000D_
	&lt;/valve&gt;_x000D_
</v>
      </c>
      <c r="G32">
        <f t="shared" ca="1" si="0"/>
        <v>0.9</v>
      </c>
    </row>
    <row r="33" spans="2:7" x14ac:dyDescent="0.25">
      <c r="B33" s="2" t="s">
        <v>13</v>
      </c>
      <c r="C33" s="3" t="str">
        <f t="shared" ca="1" si="4"/>
        <v>BigShiny</v>
      </c>
      <c r="D33">
        <f t="shared" si="5"/>
        <v>0.13200000000000006</v>
      </c>
      <c r="E33">
        <v>6.0000000000000001E-3</v>
      </c>
      <c r="F33" t="str">
        <f ca="1">SINGLEVALVE(C33,D33,E33)</f>
        <v xml:space="preserve">	&lt;valve&gt;_x000D_
		&lt;valvetype&gt;BigShiny&lt;/valvetype&gt;_x000D_
		&lt;valvex&gt;0.132&lt;/valvex&gt;_x000D_
		&lt;valvey&gt;0.006&lt;/valvey&gt;_x000D_
	&lt;/valve&gt;_x000D_
</v>
      </c>
      <c r="G33">
        <f t="shared" ca="1" si="0"/>
        <v>0.9</v>
      </c>
    </row>
    <row r="34" spans="2:7" x14ac:dyDescent="0.25">
      <c r="B34" s="2" t="s">
        <v>13</v>
      </c>
      <c r="C34" s="3" t="str">
        <f t="shared" ca="1" si="4"/>
        <v>BigShiny</v>
      </c>
      <c r="D34">
        <f t="shared" si="5"/>
        <v>8.0000000000000071E-2</v>
      </c>
      <c r="E34">
        <v>6.0000000000000001E-3</v>
      </c>
      <c r="F34" t="str">
        <f ca="1">SINGLEVALVE(C34,D34,E34)</f>
        <v xml:space="preserve">	&lt;valve&gt;_x000D_
		&lt;valvetype&gt;BigShiny&lt;/valvetype&gt;_x000D_
		&lt;valvex&gt;0.08&lt;/valvex&gt;_x000D_
		&lt;valvey&gt;0.006&lt;/valvey&gt;_x000D_
	&lt;/valve&gt;_x000D_
</v>
      </c>
      <c r="G34">
        <f t="shared" ca="1" si="0"/>
        <v>0.9</v>
      </c>
    </row>
    <row r="35" spans="2:7" x14ac:dyDescent="0.25">
      <c r="B35" s="2" t="s">
        <v>13</v>
      </c>
      <c r="C35" s="3" t="str">
        <f t="shared" ca="1" si="4"/>
        <v>BigShiny</v>
      </c>
      <c r="D35">
        <f t="shared" si="5"/>
        <v>2.8000000000000073E-2</v>
      </c>
      <c r="E35">
        <v>6.0000000000000001E-3</v>
      </c>
      <c r="F35" t="str">
        <f ca="1">SINGLEVALVE(C35,D35,E35)</f>
        <v xml:space="preserve">	&lt;valve&gt;_x000D_
		&lt;valvetype&gt;BigShiny&lt;/valvetype&gt;_x000D_
		&lt;valvex&gt;0.028&lt;/valvex&gt;_x000D_
		&lt;valvey&gt;0.006&lt;/valvey&gt;_x000D_
	&lt;/valve&gt;_x000D_
</v>
      </c>
      <c r="G35">
        <f t="shared" ca="1" si="0"/>
        <v>0.8</v>
      </c>
    </row>
    <row r="36" spans="2:7" x14ac:dyDescent="0.25">
      <c r="B36" s="2" t="s">
        <v>13</v>
      </c>
      <c r="C36" s="3" t="str">
        <f t="shared" ca="1" si="4"/>
        <v>BigFlat</v>
      </c>
      <c r="D36">
        <f t="shared" si="5"/>
        <v>-2.3999999999999924E-2</v>
      </c>
      <c r="E36">
        <v>6.0000000000000001E-3</v>
      </c>
      <c r="F36" t="str">
        <f ca="1">SINGLEVALVE(C36,D36,E36)</f>
        <v xml:space="preserve">	&lt;valve&gt;_x000D_
		&lt;valvetype&gt;BigFlat&lt;/valvetype&gt;_x000D_
		&lt;valvex&gt;-0.024&lt;/valvex&gt;_x000D_
		&lt;valvey&gt;0.006&lt;/valvey&gt;_x000D_
	&lt;/valve&gt;_x000D_
</v>
      </c>
      <c r="G36">
        <f t="shared" ca="1" si="0"/>
        <v>0.6</v>
      </c>
    </row>
    <row r="37" spans="2:7" x14ac:dyDescent="0.25">
      <c r="B37" s="2" t="s">
        <v>13</v>
      </c>
      <c r="C37" s="3" t="str">
        <f t="shared" ca="1" si="4"/>
        <v>BigShiny</v>
      </c>
      <c r="D37">
        <f t="shared" si="5"/>
        <v>-7.5999999999999929E-2</v>
      </c>
      <c r="E37">
        <v>6.0000000000000001E-3</v>
      </c>
      <c r="F37" t="str">
        <f ca="1">SINGLEVALVE(C37,D37,E37)</f>
        <v xml:space="preserve">	&lt;valve&gt;_x000D_
		&lt;valvetype&gt;BigShiny&lt;/valvetype&gt;_x000D_
		&lt;valvex&gt;-0.076&lt;/valvex&gt;_x000D_
		&lt;valvey&gt;0.006&lt;/valvey&gt;_x000D_
	&lt;/valve&gt;_x000D_
</v>
      </c>
      <c r="G37">
        <f t="shared" ca="1" si="0"/>
        <v>0.8</v>
      </c>
    </row>
    <row r="38" spans="2:7" x14ac:dyDescent="0.25">
      <c r="B38" s="2" t="s">
        <v>13</v>
      </c>
      <c r="C38" s="3" t="str">
        <f t="shared" ca="1" si="4"/>
        <v>BigFlat</v>
      </c>
      <c r="D38">
        <f t="shared" si="5"/>
        <v>-0.12799999999999992</v>
      </c>
      <c r="E38">
        <v>6.0000000000000001E-3</v>
      </c>
      <c r="F38" t="str">
        <f ca="1">SINGLEVALVE(C38,D38,E38)</f>
        <v xml:space="preserve">	&lt;valve&gt;_x000D_
		&lt;valvetype&gt;BigFlat&lt;/valvetype&gt;_x000D_
		&lt;valvex&gt;-0.128&lt;/valvex&gt;_x000D_
		&lt;valvey&gt;0.006&lt;/valvey&gt;_x000D_
	&lt;/valve&gt;_x000D_
</v>
      </c>
      <c r="G38">
        <f t="shared" ca="1" si="0"/>
        <v>0.6</v>
      </c>
    </row>
    <row r="39" spans="2:7" x14ac:dyDescent="0.25">
      <c r="B39" s="2" t="s">
        <v>13</v>
      </c>
      <c r="C39" s="3" t="str">
        <f t="shared" ca="1" si="4"/>
        <v>BigFlat</v>
      </c>
      <c r="D39">
        <f t="shared" si="5"/>
        <v>-0.17999999999999991</v>
      </c>
      <c r="E39">
        <v>6.0000000000000001E-3</v>
      </c>
      <c r="F39" t="str">
        <f ca="1">SINGLEVALVE(C39,D39,E39)</f>
        <v xml:space="preserve">	&lt;valve&gt;_x000D_
		&lt;valvetype&gt;BigFlat&lt;/valvetype&gt;_x000D_
		&lt;valvex&gt;-0.18&lt;/valvex&gt;_x000D_
		&lt;valvey&gt;0.006&lt;/valvey&gt;_x000D_
	&lt;/valve&gt;_x000D_
</v>
      </c>
      <c r="G39">
        <f t="shared" ca="1" si="0"/>
        <v>0.7</v>
      </c>
    </row>
    <row r="40" spans="2:7" x14ac:dyDescent="0.25">
      <c r="B40" s="2" t="s">
        <v>13</v>
      </c>
      <c r="C40" s="3" t="str">
        <f t="shared" ca="1" si="4"/>
        <v>BigFlat</v>
      </c>
      <c r="D40">
        <f t="shared" si="5"/>
        <v>-0.2319999999999999</v>
      </c>
      <c r="E40">
        <v>6.0000000000000001E-3</v>
      </c>
      <c r="F40" t="str">
        <f ca="1">SINGLEVALVE(C40,D40,E40)</f>
        <v xml:space="preserve">	&lt;valve&gt;_x000D_
		&lt;valvetype&gt;BigFlat&lt;/valvetype&gt;_x000D_
		&lt;valvex&gt;-0.232&lt;/valvex&gt;_x000D_
		&lt;valvey&gt;0.006&lt;/valvey&gt;_x000D_
	&lt;/valve&gt;_x000D_
</v>
      </c>
      <c r="G40">
        <f t="shared" ca="1" si="0"/>
        <v>0.6</v>
      </c>
    </row>
    <row r="41" spans="2:7" x14ac:dyDescent="0.25">
      <c r="B41" s="2" t="s">
        <v>13</v>
      </c>
      <c r="C41" s="3" t="str">
        <f t="shared" ca="1" si="4"/>
        <v>BigFlat</v>
      </c>
      <c r="D41">
        <f>D40-0.052</f>
        <v>-0.28399999999999992</v>
      </c>
      <c r="E41">
        <v>5.5E-2</v>
      </c>
      <c r="F41" t="str">
        <f ca="1">SINGLEVALVE(C41,D41,E41)</f>
        <v xml:space="preserve">	&lt;valve&gt;_x000D_
		&lt;valvetype&gt;BigFlat&lt;/valvetype&gt;_x000D_
		&lt;valvex&gt;-0.284&lt;/valvex&gt;_x000D_
		&lt;valvey&gt;0.055&lt;/valvey&gt;_x000D_
	&lt;/valve&gt;_x000D_
</v>
      </c>
      <c r="G41">
        <f t="shared" ca="1" si="0"/>
        <v>0.6</v>
      </c>
    </row>
    <row r="42" spans="2:7" x14ac:dyDescent="0.25">
      <c r="B42" s="2" t="s">
        <v>13</v>
      </c>
      <c r="C42" s="3" t="str">
        <f t="shared" ca="1" si="4"/>
        <v>BigFlat</v>
      </c>
      <c r="D42">
        <f t="shared" ref="D42:D52" si="6">D41-0.052</f>
        <v>-0.33599999999999991</v>
      </c>
      <c r="E42">
        <v>6.0000000000000001E-3</v>
      </c>
      <c r="F42" t="str">
        <f ca="1">SINGLEVALVE(C42,D42,E42)</f>
        <v xml:space="preserve">	&lt;valve&gt;_x000D_
		&lt;valvetype&gt;BigFlat&lt;/valvetype&gt;_x000D_
		&lt;valvex&gt;-0.336&lt;/valvex&gt;_x000D_
		&lt;valvey&gt;0.006&lt;/valvey&gt;_x000D_
	&lt;/valve&gt;_x000D_
</v>
      </c>
      <c r="G42">
        <f t="shared" ca="1" si="0"/>
        <v>0.6</v>
      </c>
    </row>
    <row r="43" spans="2:7" x14ac:dyDescent="0.25">
      <c r="B43" s="2" t="s">
        <v>13</v>
      </c>
      <c r="C43" s="3" t="str">
        <f t="shared" ca="1" si="4"/>
        <v>SmallRed</v>
      </c>
      <c r="D43">
        <f>D29-2.5*0.052</f>
        <v>0.21000000000000002</v>
      </c>
      <c r="E43">
        <v>5.5E-2</v>
      </c>
      <c r="F43" t="str">
        <f ca="1">SINGLEVALVE(C43,D43,E43)</f>
        <v xml:space="preserve">	&lt;valve&gt;_x000D_
		&lt;valvetype&gt;SmallRed&lt;/valvetype&gt;_x000D_
		&lt;valvex&gt;0.21&lt;/valvex&gt;_x000D_
		&lt;valvey&gt;0.055&lt;/valvey&gt;_x000D_
	&lt;/valve&gt;_x000D_
</v>
      </c>
      <c r="G43">
        <f ca="1">RANDBETWEEN(0,5)/10</f>
        <v>0.1</v>
      </c>
    </row>
    <row r="44" spans="2:7" x14ac:dyDescent="0.25">
      <c r="B44" s="2" t="s">
        <v>13</v>
      </c>
      <c r="C44" s="3" t="str">
        <f t="shared" ca="1" si="4"/>
        <v>SmallCream</v>
      </c>
      <c r="D44">
        <f t="shared" ref="D44:D52" si="7">D43-0.052</f>
        <v>0.15800000000000003</v>
      </c>
      <c r="E44">
        <v>5.5E-2</v>
      </c>
      <c r="F44" t="str">
        <f ca="1">SINGLEVALVE(C44,D44,E44)</f>
        <v xml:space="preserve">	&lt;valve&gt;_x000D_
		&lt;valvetype&gt;SmallCream&lt;/valvetype&gt;_x000D_
		&lt;valvex&gt;0.158&lt;/valvex&gt;_x000D_
		&lt;valvey&gt;0.055&lt;/valvey&gt;_x000D_
	&lt;/valve&gt;_x000D_
</v>
      </c>
      <c r="G44">
        <f t="shared" ref="G44:G52" ca="1" si="8">RANDBETWEEN(0,5)/10</f>
        <v>0.4</v>
      </c>
    </row>
    <row r="45" spans="2:7" x14ac:dyDescent="0.25">
      <c r="B45" s="2" t="s">
        <v>13</v>
      </c>
      <c r="C45" s="3" t="str">
        <f t="shared" ca="1" si="4"/>
        <v>SmallRed</v>
      </c>
      <c r="D45">
        <f t="shared" si="7"/>
        <v>0.10600000000000004</v>
      </c>
      <c r="E45">
        <v>5.5E-2</v>
      </c>
      <c r="F45" t="str">
        <f ca="1">SINGLEVALVE(C45,D45,E45)</f>
        <v xml:space="preserve">	&lt;valve&gt;_x000D_
		&lt;valvetype&gt;SmallRed&lt;/valvetype&gt;_x000D_
		&lt;valvex&gt;0.106&lt;/valvex&gt;_x000D_
		&lt;valvey&gt;0.055&lt;/valvey&gt;_x000D_
	&lt;/valve&gt;_x000D_
</v>
      </c>
      <c r="G45">
        <f t="shared" ca="1" si="8"/>
        <v>0.1</v>
      </c>
    </row>
    <row r="46" spans="2:7" x14ac:dyDescent="0.25">
      <c r="B46" s="2" t="s">
        <v>13</v>
      </c>
      <c r="C46" s="3" t="str">
        <f t="shared" ca="1" si="4"/>
        <v>SmallRed</v>
      </c>
      <c r="D46">
        <f t="shared" si="7"/>
        <v>5.4000000000000041E-2</v>
      </c>
      <c r="E46">
        <v>5.5E-2</v>
      </c>
      <c r="F46" t="str">
        <f ca="1">SINGLEVALVE(C46,D46,E46)</f>
        <v xml:space="preserve">	&lt;valve&gt;_x000D_
		&lt;valvetype&gt;SmallRed&lt;/valvetype&gt;_x000D_
		&lt;valvex&gt;0.054&lt;/valvex&gt;_x000D_
		&lt;valvey&gt;0.055&lt;/valvey&gt;_x000D_
	&lt;/valve&gt;_x000D_
</v>
      </c>
      <c r="G46">
        <f t="shared" ca="1" si="8"/>
        <v>0</v>
      </c>
    </row>
    <row r="47" spans="2:7" x14ac:dyDescent="0.25">
      <c r="B47" s="2" t="s">
        <v>13</v>
      </c>
      <c r="C47" s="3" t="str">
        <f t="shared" ca="1" si="4"/>
        <v>SmallCream</v>
      </c>
      <c r="D47">
        <f t="shared" si="7"/>
        <v>2.0000000000000434E-3</v>
      </c>
      <c r="E47">
        <v>5.5E-2</v>
      </c>
      <c r="F47" t="str">
        <f ca="1">SINGLEVALVE(C47,D47,E47)</f>
        <v xml:space="preserve">	&lt;valve&gt;_x000D_
		&lt;valvetype&gt;SmallCream&lt;/valvetype&gt;_x000D_
		&lt;valvex&gt;0.002&lt;/valvex&gt;_x000D_
		&lt;valvey&gt;0.055&lt;/valvey&gt;_x000D_
	&lt;/valve&gt;_x000D_
</v>
      </c>
      <c r="G47">
        <f t="shared" ca="1" si="8"/>
        <v>0.4</v>
      </c>
    </row>
    <row r="48" spans="2:7" x14ac:dyDescent="0.25">
      <c r="B48" s="2" t="s">
        <v>13</v>
      </c>
      <c r="C48" s="3" t="str">
        <f t="shared" ca="1" si="4"/>
        <v>SmallRed</v>
      </c>
      <c r="D48">
        <f t="shared" si="7"/>
        <v>-4.9999999999999954E-2</v>
      </c>
      <c r="E48">
        <v>5.5E-2</v>
      </c>
      <c r="F48" t="str">
        <f ca="1">SINGLEVALVE(C48,D48,E48)</f>
        <v xml:space="preserve">	&lt;valve&gt;_x000D_
		&lt;valvetype&gt;SmallRed&lt;/valvetype&gt;_x000D_
		&lt;valvex&gt;-0.05&lt;/valvex&gt;_x000D_
		&lt;valvey&gt;0.055&lt;/valvey&gt;_x000D_
	&lt;/valve&gt;_x000D_
</v>
      </c>
      <c r="G48">
        <f t="shared" ca="1" si="8"/>
        <v>0</v>
      </c>
    </row>
    <row r="49" spans="2:7" x14ac:dyDescent="0.25">
      <c r="B49" s="2" t="s">
        <v>13</v>
      </c>
      <c r="C49" s="3" t="str">
        <f t="shared" ca="1" si="4"/>
        <v>SmallRed</v>
      </c>
      <c r="D49">
        <f t="shared" si="7"/>
        <v>-0.10199999999999995</v>
      </c>
      <c r="E49">
        <v>5.5E-2</v>
      </c>
      <c r="F49" t="str">
        <f ca="1">SINGLEVALVE(C49,D49,E49)</f>
        <v xml:space="preserve">	&lt;valve&gt;_x000D_
		&lt;valvetype&gt;SmallRed&lt;/valvetype&gt;_x000D_
		&lt;valvex&gt;-0.102&lt;/valvex&gt;_x000D_
		&lt;valvey&gt;0.055&lt;/valvey&gt;_x000D_
	&lt;/valve&gt;_x000D_
</v>
      </c>
      <c r="G49">
        <f t="shared" ca="1" si="8"/>
        <v>0</v>
      </c>
    </row>
    <row r="50" spans="2:7" x14ac:dyDescent="0.25">
      <c r="B50" s="2" t="s">
        <v>13</v>
      </c>
      <c r="C50" s="3" t="str">
        <f t="shared" ca="1" si="4"/>
        <v>SmallRed</v>
      </c>
      <c r="D50">
        <f t="shared" si="7"/>
        <v>-0.15399999999999994</v>
      </c>
      <c r="E50">
        <v>5.5E-2</v>
      </c>
      <c r="F50" t="str">
        <f ca="1">SINGLEVALVE(C50,D50,E50)</f>
        <v xml:space="preserve">	&lt;valve&gt;_x000D_
		&lt;valvetype&gt;SmallRed&lt;/valvetype&gt;_x000D_
		&lt;valvex&gt;-0.154&lt;/valvex&gt;_x000D_
		&lt;valvey&gt;0.055&lt;/valvey&gt;_x000D_
	&lt;/valve&gt;_x000D_
</v>
      </c>
      <c r="G50">
        <f t="shared" ca="1" si="8"/>
        <v>0</v>
      </c>
    </row>
    <row r="51" spans="2:7" x14ac:dyDescent="0.25">
      <c r="B51" s="2" t="s">
        <v>13</v>
      </c>
      <c r="C51" s="3" t="str">
        <f t="shared" ca="1" si="4"/>
        <v>SmallCream</v>
      </c>
      <c r="D51">
        <f t="shared" si="7"/>
        <v>-0.20599999999999993</v>
      </c>
      <c r="E51">
        <v>5.5E-2</v>
      </c>
      <c r="F51" t="str">
        <f ca="1">SINGLEVALVE(C51,D51,E51)</f>
        <v xml:space="preserve">	&lt;valve&gt;_x000D_
		&lt;valvetype&gt;SmallCream&lt;/valvetype&gt;_x000D_
		&lt;valvex&gt;-0.206&lt;/valvex&gt;_x000D_
		&lt;valvey&gt;0.055&lt;/valvey&gt;_x000D_
	&lt;/valve&gt;_x000D_
</v>
      </c>
      <c r="G51">
        <f t="shared" ca="1" si="8"/>
        <v>0.5</v>
      </c>
    </row>
    <row r="52" spans="2:7" x14ac:dyDescent="0.25">
      <c r="B52" s="2" t="s">
        <v>13</v>
      </c>
      <c r="C52" s="3" t="str">
        <f t="shared" ca="1" si="4"/>
        <v>SmallCream</v>
      </c>
      <c r="D52">
        <f t="shared" si="7"/>
        <v>-0.25799999999999995</v>
      </c>
      <c r="E52">
        <v>5.5E-2</v>
      </c>
      <c r="F52" t="str">
        <f ca="1">SINGLEVALVE(C52,D52,E52)</f>
        <v xml:space="preserve">	&lt;valve&gt;_x000D_
		&lt;valvetype&gt;SmallCream&lt;/valvetype&gt;_x000D_
		&lt;valvex&gt;-0.258&lt;/valvex&gt;_x000D_
		&lt;valvey&gt;0.055&lt;/valvey&gt;_x000D_
	&lt;/valve&gt;_x000D_
</v>
      </c>
      <c r="G52">
        <f t="shared" ca="1" si="8"/>
        <v>0.5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7"/>
  <sheetViews>
    <sheetView workbookViewId="0">
      <selection activeCell="B8" sqref="B8"/>
    </sheetView>
  </sheetViews>
  <sheetFormatPr defaultRowHeight="15" x14ac:dyDescent="0.25"/>
  <cols>
    <col min="3" max="3" width="9.140625" customWidth="1"/>
  </cols>
  <sheetData>
    <row r="2" spans="2:3" x14ac:dyDescent="0.25">
      <c r="B2" t="s">
        <v>52</v>
      </c>
    </row>
    <row r="4" spans="2:3" x14ac:dyDescent="0.25">
      <c r="B4" t="s">
        <v>16</v>
      </c>
      <c r="C4" t="s">
        <v>18</v>
      </c>
    </row>
    <row r="5" spans="2:3" x14ac:dyDescent="0.25">
      <c r="B5" t="s">
        <v>17</v>
      </c>
      <c r="C5" t="str">
        <f>EDSACROW(B5)</f>
        <v xml:space="preserve">&lt;row&gt;_x000D_
	&lt;rowname&gt;Rear&lt;/rowname&gt;_x000D_
	&lt;rack&gt;_x000D_
		&lt;racknumber&gt;1&lt;/racknumber&gt;_x000D_
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	&lt;/rack&gt;_x000D_
	&lt;rack&gt;_x000D_
		&lt;racknumber&gt;2&lt;/racknumber&gt;_x000D_
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	&lt;/rack&gt;_x000D_
	&lt;rack&gt;_x000D_
		&lt;racknumber&gt;3&lt;/racknumber&gt;_x000D_
	&lt;/rack&gt;_x000D_
	&lt;rack&gt;_x000D_
		&lt;racknumber&gt;4&lt;/racknumber&gt;_x000D_
	&lt;/rack&gt;_x000D_
	&lt;rack&gt;_x000D_
		&lt;racknumber&gt;5&lt;/racknumber&gt;_x000D_
	&lt;/rack&gt;_x000D_
&lt;/row&gt;_x000D_
</v>
      </c>
    </row>
    <row r="6" spans="2:3" x14ac:dyDescent="0.25">
      <c r="B6" t="s">
        <v>49</v>
      </c>
      <c r="C6" t="str">
        <f>EDSACROW(B6)</f>
        <v xml:space="preserve">&lt;row&gt;_x000D_
	&lt;rowname&gt;Middle&lt;/rowname&gt;_x000D_
	&lt;rack&gt;_x000D_
		&lt;racknumber&gt;1&lt;/racknumber&gt;_x000D_
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	&lt;/rack&gt;_x000D_
	&lt;rack&gt;_x000D_
		&lt;racknumber&gt;2&lt;/racknumber&gt;_x000D_
	&lt;/rack&gt;_x000D_
	&lt;rack&gt;_x000D_
		&lt;racknumber&gt;3&lt;/racknumber&gt;_x000D_
	&lt;/rack&gt;_x000D_
&lt;/row&gt;_x000D_
</v>
      </c>
    </row>
    <row r="7" spans="2:3" x14ac:dyDescent="0.25">
      <c r="B7" t="s">
        <v>50</v>
      </c>
      <c r="C7" t="str">
        <f>EDSACROW(B7)</f>
        <v xml:space="preserve">&lt;row&gt;_x000D_
	&lt;rowname&gt;Front&lt;/rowname&gt;_x000D_
	&lt;rack&gt;_x000D_
		&lt;racknumber&gt;1&lt;/racknumber&gt;_x000D_
	&lt;/rack&gt;_x000D_
	&lt;rack&gt;_x000D_
		&lt;racknumber&gt;2&lt;/racknumber&gt;_x000D_
	&lt;/rack&gt;_x000D_
	&lt;rack&gt;_x000D_
		&lt;racknumber&gt;3&lt;/racknumber&gt;_x000D_
	&lt;/rack&gt;_x000D_
	&lt;rack&gt;_x000D_
		&lt;racknumber&gt;4&lt;/racknumber&gt;_x000D_
	&lt;/rack&gt;_x000D_
&lt;/row&gt;_x000D_
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16"/>
  <sheetViews>
    <sheetView workbookViewId="0">
      <selection activeCell="D20" sqref="D20"/>
    </sheetView>
  </sheetViews>
  <sheetFormatPr defaultRowHeight="15" x14ac:dyDescent="0.25"/>
  <sheetData>
    <row r="2" spans="2:4" x14ac:dyDescent="0.25">
      <c r="B2" t="s">
        <v>51</v>
      </c>
    </row>
    <row r="4" spans="2:4" x14ac:dyDescent="0.25">
      <c r="B4" t="s">
        <v>16</v>
      </c>
      <c r="C4" t="s">
        <v>19</v>
      </c>
      <c r="D4" t="s">
        <v>20</v>
      </c>
    </row>
    <row r="5" spans="2:4" x14ac:dyDescent="0.25">
      <c r="B5" t="s">
        <v>17</v>
      </c>
      <c r="C5">
        <v>1</v>
      </c>
      <c r="D5" t="str">
        <f>RACK(B5,C5)</f>
        <v xml:space="preserve">	&lt;rack&gt;_x000D_
		&lt;racknumber&gt;1&lt;/racknumber&gt;_x000D_
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	&lt;/rack&gt;_x000D_
</v>
      </c>
    </row>
    <row r="6" spans="2:4" x14ac:dyDescent="0.25">
      <c r="B6" t="s">
        <v>17</v>
      </c>
      <c r="C6">
        <v>2</v>
      </c>
      <c r="D6" t="str">
        <f>RACK(B6,C6)</f>
        <v xml:space="preserve">	&lt;rack&gt;_x000D_
		&lt;racknumber&gt;2&lt;/racknumber&gt;_x000D_
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	&lt;/rack&gt;_x000D_
</v>
      </c>
    </row>
    <row r="7" spans="2:4" x14ac:dyDescent="0.25">
      <c r="B7" t="s">
        <v>17</v>
      </c>
      <c r="C7">
        <v>3</v>
      </c>
      <c r="D7" t="str">
        <f>RACK(B7,C7)</f>
        <v xml:space="preserve">	&lt;rack&gt;_x000D_
		&lt;racknumber&gt;3&lt;/racknumber&gt;_x000D_
	&lt;/rack&gt;_x000D_
</v>
      </c>
    </row>
    <row r="8" spans="2:4" x14ac:dyDescent="0.25">
      <c r="B8" t="s">
        <v>17</v>
      </c>
      <c r="C8">
        <v>4</v>
      </c>
      <c r="D8" t="str">
        <f>RACK(B8,C8)</f>
        <v xml:space="preserve">	&lt;rack&gt;_x000D_
		&lt;racknumber&gt;4&lt;/racknumber&gt;_x000D_
	&lt;/rack&gt;_x000D_
</v>
      </c>
    </row>
    <row r="9" spans="2:4" x14ac:dyDescent="0.25">
      <c r="B9" t="s">
        <v>17</v>
      </c>
      <c r="C9">
        <v>5</v>
      </c>
      <c r="D9" t="str">
        <f>RACK(B9,C9)</f>
        <v xml:space="preserve">	&lt;rack&gt;_x000D_
		&lt;racknumber&gt;5&lt;/racknumber&gt;_x000D_
	&lt;/rack&gt;_x000D_
</v>
      </c>
    </row>
    <row r="10" spans="2:4" x14ac:dyDescent="0.25">
      <c r="B10" t="s">
        <v>49</v>
      </c>
      <c r="C10">
        <v>1</v>
      </c>
      <c r="D10" t="str">
        <f>RACK(B10,C10)</f>
        <v xml:space="preserve">	&lt;rack&gt;_x000D_
		&lt;racknumber&gt;1&lt;/racknumber&gt;_x000D_
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	&lt;/rack&gt;_x000D_
</v>
      </c>
    </row>
    <row r="11" spans="2:4" x14ac:dyDescent="0.25">
      <c r="B11" t="s">
        <v>49</v>
      </c>
      <c r="C11">
        <v>2</v>
      </c>
      <c r="D11" t="str">
        <f>RACK(B11,C11)</f>
        <v xml:space="preserve">	&lt;rack&gt;_x000D_
		&lt;racknumber&gt;2&lt;/racknumber&gt;_x000D_
	&lt;/rack&gt;_x000D_
</v>
      </c>
    </row>
    <row r="12" spans="2:4" x14ac:dyDescent="0.25">
      <c r="B12" t="s">
        <v>49</v>
      </c>
      <c r="C12">
        <v>3</v>
      </c>
      <c r="D12" t="str">
        <f>RACK(B12,C12)</f>
        <v xml:space="preserve">	&lt;rack&gt;_x000D_
		&lt;racknumber&gt;3&lt;/racknumber&gt;_x000D_
	&lt;/rack&gt;_x000D_
</v>
      </c>
    </row>
    <row r="13" spans="2:4" x14ac:dyDescent="0.25">
      <c r="B13" t="s">
        <v>50</v>
      </c>
      <c r="C13">
        <v>1</v>
      </c>
      <c r="D13" t="str">
        <f>RACK(B13,C13)</f>
        <v xml:space="preserve">	&lt;rack&gt;_x000D_
		&lt;racknumber&gt;1&lt;/racknumber&gt;_x000D_
	&lt;/rack&gt;_x000D_
</v>
      </c>
    </row>
    <row r="14" spans="2:4" x14ac:dyDescent="0.25">
      <c r="B14" t="s">
        <v>50</v>
      </c>
      <c r="C14">
        <v>2</v>
      </c>
      <c r="D14" t="str">
        <f>RACK(B14,C14)</f>
        <v xml:space="preserve">	&lt;rack&gt;_x000D_
		&lt;racknumber&gt;2&lt;/racknumber&gt;_x000D_
	&lt;/rack&gt;_x000D_
</v>
      </c>
    </row>
    <row r="15" spans="2:4" x14ac:dyDescent="0.25">
      <c r="B15" t="s">
        <v>50</v>
      </c>
      <c r="C15">
        <v>3</v>
      </c>
      <c r="D15" t="str">
        <f>RACK(B15,C15)</f>
        <v xml:space="preserve">	&lt;rack&gt;_x000D_
		&lt;racknumber&gt;3&lt;/racknumber&gt;_x000D_
	&lt;/rack&gt;_x000D_
</v>
      </c>
    </row>
    <row r="16" spans="2:4" x14ac:dyDescent="0.25">
      <c r="B16" t="s">
        <v>50</v>
      </c>
      <c r="C16">
        <v>4</v>
      </c>
      <c r="D16" t="str">
        <f>RACK(B16,C16)</f>
        <v xml:space="preserve">	&lt;rack&gt;_x000D_
		&lt;racknumber&gt;4&lt;/racknumber&gt;_x000D_
	&lt;/rack&gt;_x000D_
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46"/>
  <sheetViews>
    <sheetView workbookViewId="0">
      <selection activeCell="C44" sqref="C44"/>
    </sheetView>
  </sheetViews>
  <sheetFormatPr defaultRowHeight="15" x14ac:dyDescent="0.25"/>
  <sheetData>
    <row r="2" spans="2:9" x14ac:dyDescent="0.25">
      <c r="B2" t="s">
        <v>28</v>
      </c>
    </row>
    <row r="4" spans="2:9" x14ac:dyDescent="0.25">
      <c r="B4" t="s">
        <v>16</v>
      </c>
      <c r="C4" t="s">
        <v>19</v>
      </c>
      <c r="D4" t="s">
        <v>21</v>
      </c>
      <c r="E4" t="s">
        <v>22</v>
      </c>
      <c r="F4" t="s">
        <v>23</v>
      </c>
      <c r="G4" t="s">
        <v>24</v>
      </c>
      <c r="H4" t="s">
        <v>6</v>
      </c>
      <c r="I4" t="s">
        <v>20</v>
      </c>
    </row>
    <row r="5" spans="2:9" x14ac:dyDescent="0.25">
      <c r="B5" t="s">
        <v>17</v>
      </c>
      <c r="C5">
        <v>1</v>
      </c>
      <c r="D5">
        <v>1</v>
      </c>
      <c r="E5" t="s">
        <v>25</v>
      </c>
      <c r="F5" s="1" t="s">
        <v>26</v>
      </c>
      <c r="G5" t="s">
        <v>27</v>
      </c>
      <c r="H5" s="1" t="s">
        <v>2</v>
      </c>
      <c r="I5" t="str">
        <f>CHASSIS(D5,E5,F5,G5,H5)</f>
        <v xml:space="preserve">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</v>
      </c>
    </row>
    <row r="6" spans="2:9" x14ac:dyDescent="0.25">
      <c r="B6" t="s">
        <v>17</v>
      </c>
      <c r="C6">
        <v>1</v>
      </c>
      <c r="D6">
        <v>2</v>
      </c>
      <c r="E6" t="s">
        <v>25</v>
      </c>
      <c r="F6" s="1" t="s">
        <v>29</v>
      </c>
      <c r="G6" t="s">
        <v>27</v>
      </c>
      <c r="H6" s="1" t="s">
        <v>13</v>
      </c>
      <c r="I6" t="str">
        <f>CHASSIS(D6,E6,F6,G6,H6)</f>
        <v xml:space="preserve">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</v>
      </c>
    </row>
    <row r="7" spans="2:9" x14ac:dyDescent="0.25">
      <c r="B7" t="s">
        <v>17</v>
      </c>
      <c r="C7">
        <v>1</v>
      </c>
      <c r="D7">
        <v>3</v>
      </c>
      <c r="E7" t="s">
        <v>25</v>
      </c>
      <c r="F7" s="1" t="s">
        <v>30</v>
      </c>
      <c r="G7" t="s">
        <v>27</v>
      </c>
      <c r="H7" s="1" t="s">
        <v>2</v>
      </c>
      <c r="I7" t="str">
        <f>CHASSIS(D7,E7,F7,G7,H7)</f>
        <v xml:space="preserve">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</v>
      </c>
    </row>
    <row r="8" spans="2:9" x14ac:dyDescent="0.25">
      <c r="B8" t="s">
        <v>17</v>
      </c>
      <c r="C8">
        <v>1</v>
      </c>
      <c r="D8">
        <v>4</v>
      </c>
      <c r="E8" t="s">
        <v>25</v>
      </c>
      <c r="F8" s="1" t="s">
        <v>31</v>
      </c>
      <c r="G8" t="s">
        <v>27</v>
      </c>
      <c r="H8" s="1" t="s">
        <v>13</v>
      </c>
      <c r="I8" t="str">
        <f>CHASSIS(D8,E8,F8,G8,H8)</f>
        <v xml:space="preserve">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</v>
      </c>
    </row>
    <row r="9" spans="2:9" x14ac:dyDescent="0.25">
      <c r="B9" t="s">
        <v>17</v>
      </c>
      <c r="C9">
        <v>1</v>
      </c>
      <c r="D9">
        <v>5</v>
      </c>
      <c r="E9" t="s">
        <v>25</v>
      </c>
      <c r="F9" s="1" t="s">
        <v>32</v>
      </c>
      <c r="G9" t="s">
        <v>27</v>
      </c>
      <c r="H9" s="1" t="s">
        <v>2</v>
      </c>
      <c r="I9" t="str">
        <f>CHASSIS(D9,E9,F9,G9,H9)</f>
        <v xml:space="preserve">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</v>
      </c>
    </row>
    <row r="10" spans="2:9" x14ac:dyDescent="0.25">
      <c r="B10" t="s">
        <v>17</v>
      </c>
      <c r="C10">
        <v>1</v>
      </c>
      <c r="D10">
        <v>6</v>
      </c>
      <c r="E10" t="s">
        <v>33</v>
      </c>
      <c r="F10" t="s">
        <v>34</v>
      </c>
      <c r="G10" t="s">
        <v>43</v>
      </c>
      <c r="H10" s="1" t="s">
        <v>13</v>
      </c>
      <c r="I10" t="str">
        <f>CHASSIS(D10,E10,F10,G10,H10)</f>
        <v xml:space="preserve">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</v>
      </c>
    </row>
    <row r="11" spans="2:9" x14ac:dyDescent="0.25">
      <c r="B11" t="s">
        <v>17</v>
      </c>
      <c r="C11">
        <v>1</v>
      </c>
      <c r="D11">
        <v>7</v>
      </c>
      <c r="E11" t="s">
        <v>35</v>
      </c>
      <c r="F11">
        <v>2</v>
      </c>
      <c r="G11" t="s">
        <v>44</v>
      </c>
      <c r="H11" s="1" t="s">
        <v>2</v>
      </c>
      <c r="I11" t="str">
        <f>CHASSIS(D11,E11,F11,G11,H11)</f>
        <v xml:space="preserve">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</v>
      </c>
    </row>
    <row r="12" spans="2:9" x14ac:dyDescent="0.25">
      <c r="B12" t="s">
        <v>17</v>
      </c>
      <c r="C12">
        <v>1</v>
      </c>
      <c r="D12">
        <v>8</v>
      </c>
      <c r="E12" t="s">
        <v>36</v>
      </c>
      <c r="F12">
        <v>1</v>
      </c>
      <c r="H12" s="1" t="s">
        <v>13</v>
      </c>
      <c r="I12" t="str">
        <f>CHASSIS(D12,E12,F12,G12,H12)</f>
        <v xml:space="preserve">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</v>
      </c>
    </row>
    <row r="13" spans="2:9" x14ac:dyDescent="0.25">
      <c r="B13" t="s">
        <v>17</v>
      </c>
      <c r="C13">
        <v>1</v>
      </c>
      <c r="D13">
        <v>9</v>
      </c>
      <c r="E13" t="s">
        <v>37</v>
      </c>
      <c r="F13">
        <v>6</v>
      </c>
      <c r="H13" s="1" t="s">
        <v>2</v>
      </c>
      <c r="I13" t="str">
        <f>CHASSIS(D13,E13,F13,G13,H13)</f>
        <v xml:space="preserve">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</v>
      </c>
    </row>
    <row r="14" spans="2:9" x14ac:dyDescent="0.25">
      <c r="B14" t="s">
        <v>17</v>
      </c>
      <c r="C14">
        <v>1</v>
      </c>
      <c r="D14">
        <v>10</v>
      </c>
      <c r="E14" t="s">
        <v>38</v>
      </c>
      <c r="F14">
        <v>16</v>
      </c>
      <c r="G14" t="s">
        <v>45</v>
      </c>
      <c r="H14" s="1" t="s">
        <v>13</v>
      </c>
      <c r="I14" t="str">
        <f>CHASSIS(D14,E14,F14,G14,H14)</f>
        <v xml:space="preserve">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</v>
      </c>
    </row>
    <row r="15" spans="2:9" x14ac:dyDescent="0.25">
      <c r="B15" t="s">
        <v>17</v>
      </c>
      <c r="C15">
        <v>1</v>
      </c>
      <c r="D15">
        <v>11</v>
      </c>
      <c r="E15" t="s">
        <v>39</v>
      </c>
      <c r="F15">
        <v>37</v>
      </c>
      <c r="G15" t="s">
        <v>46</v>
      </c>
      <c r="H15" s="1" t="s">
        <v>2</v>
      </c>
      <c r="I15" t="str">
        <f>CHASSIS(D15,E15,F15,G15,H15)</f>
        <v xml:space="preserve">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</v>
      </c>
    </row>
    <row r="16" spans="2:9" x14ac:dyDescent="0.25">
      <c r="B16" t="s">
        <v>17</v>
      </c>
      <c r="C16">
        <v>1</v>
      </c>
      <c r="D16">
        <v>12</v>
      </c>
      <c r="E16" t="s">
        <v>40</v>
      </c>
      <c r="F16">
        <v>3</v>
      </c>
      <c r="H16" s="1" t="s">
        <v>13</v>
      </c>
      <c r="I16" t="str">
        <f>CHASSIS(D16,E16,F16,G16,H16)</f>
        <v xml:space="preserve">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</v>
      </c>
    </row>
    <row r="17" spans="2:9" x14ac:dyDescent="0.25">
      <c r="B17" t="s">
        <v>17</v>
      </c>
      <c r="C17">
        <v>1</v>
      </c>
      <c r="D17">
        <v>13</v>
      </c>
      <c r="E17" t="s">
        <v>41</v>
      </c>
      <c r="F17">
        <v>1</v>
      </c>
      <c r="G17" t="s">
        <v>47</v>
      </c>
      <c r="H17" s="1" t="s">
        <v>2</v>
      </c>
      <c r="I17" t="str">
        <f>CHASSIS(D17,E17,F17,G17,H17)</f>
        <v xml:space="preserve">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</v>
      </c>
    </row>
    <row r="18" spans="2:9" x14ac:dyDescent="0.25">
      <c r="B18" t="s">
        <v>17</v>
      </c>
      <c r="C18">
        <v>1</v>
      </c>
      <c r="D18">
        <v>14</v>
      </c>
      <c r="E18" t="s">
        <v>42</v>
      </c>
      <c r="F18">
        <v>7</v>
      </c>
      <c r="G18" t="s">
        <v>48</v>
      </c>
      <c r="H18" s="1" t="s">
        <v>13</v>
      </c>
      <c r="I18" t="str">
        <f>CHASSIS(D18,E18,F18,G18,H18)</f>
        <v xml:space="preserve">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</v>
      </c>
    </row>
    <row r="19" spans="2:9" x14ac:dyDescent="0.25">
      <c r="B19" t="s">
        <v>17</v>
      </c>
      <c r="C19">
        <v>2</v>
      </c>
      <c r="D19">
        <v>1</v>
      </c>
      <c r="E19" t="s">
        <v>25</v>
      </c>
      <c r="F19" s="1" t="s">
        <v>26</v>
      </c>
      <c r="G19" t="s">
        <v>27</v>
      </c>
      <c r="H19" s="1" t="s">
        <v>2</v>
      </c>
      <c r="I19" t="str">
        <f>CHASSIS(D19,E19,F19,G19,H19)</f>
        <v xml:space="preserve">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</v>
      </c>
    </row>
    <row r="20" spans="2:9" x14ac:dyDescent="0.25">
      <c r="B20" t="s">
        <v>17</v>
      </c>
      <c r="C20">
        <v>2</v>
      </c>
      <c r="D20">
        <v>2</v>
      </c>
      <c r="E20" t="s">
        <v>25</v>
      </c>
      <c r="F20" s="1" t="s">
        <v>29</v>
      </c>
      <c r="G20" t="s">
        <v>27</v>
      </c>
      <c r="H20" s="1" t="s">
        <v>13</v>
      </c>
      <c r="I20" t="str">
        <f>CHASSIS(D20,E20,F20,G20,H20)</f>
        <v xml:space="preserve">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</v>
      </c>
    </row>
    <row r="21" spans="2:9" x14ac:dyDescent="0.25">
      <c r="B21" t="s">
        <v>17</v>
      </c>
      <c r="C21">
        <v>2</v>
      </c>
      <c r="D21">
        <v>3</v>
      </c>
      <c r="E21" t="s">
        <v>25</v>
      </c>
      <c r="F21" s="1" t="s">
        <v>30</v>
      </c>
      <c r="G21" t="s">
        <v>27</v>
      </c>
      <c r="H21" s="1" t="s">
        <v>2</v>
      </c>
      <c r="I21" t="str">
        <f>CHASSIS(D21,E21,F21,G21,H21)</f>
        <v xml:space="preserve">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</v>
      </c>
    </row>
    <row r="22" spans="2:9" x14ac:dyDescent="0.25">
      <c r="B22" t="s">
        <v>17</v>
      </c>
      <c r="C22">
        <v>2</v>
      </c>
      <c r="D22">
        <v>4</v>
      </c>
      <c r="E22" t="s">
        <v>25</v>
      </c>
      <c r="F22" s="1" t="s">
        <v>31</v>
      </c>
      <c r="G22" t="s">
        <v>27</v>
      </c>
      <c r="H22" s="1" t="s">
        <v>13</v>
      </c>
      <c r="I22" t="str">
        <f>CHASSIS(D22,E22,F22,G22,H22)</f>
        <v xml:space="preserve">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</v>
      </c>
    </row>
    <row r="23" spans="2:9" x14ac:dyDescent="0.25">
      <c r="B23" t="s">
        <v>17</v>
      </c>
      <c r="C23">
        <v>2</v>
      </c>
      <c r="D23">
        <v>5</v>
      </c>
      <c r="E23" t="s">
        <v>25</v>
      </c>
      <c r="F23" s="1" t="s">
        <v>32</v>
      </c>
      <c r="G23" t="s">
        <v>27</v>
      </c>
      <c r="H23" s="1" t="s">
        <v>2</v>
      </c>
      <c r="I23" t="str">
        <f>CHASSIS(D23,E23,F23,G23,H23)</f>
        <v xml:space="preserve">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</v>
      </c>
    </row>
    <row r="24" spans="2:9" x14ac:dyDescent="0.25">
      <c r="B24" t="s">
        <v>17</v>
      </c>
      <c r="C24">
        <v>2</v>
      </c>
      <c r="D24">
        <v>6</v>
      </c>
      <c r="E24" t="s">
        <v>33</v>
      </c>
      <c r="F24" t="s">
        <v>34</v>
      </c>
      <c r="G24" t="s">
        <v>43</v>
      </c>
      <c r="H24" s="1" t="s">
        <v>13</v>
      </c>
      <c r="I24" t="str">
        <f>CHASSIS(D24,E24,F24,G24,H24)</f>
        <v xml:space="preserve">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</v>
      </c>
    </row>
    <row r="25" spans="2:9" x14ac:dyDescent="0.25">
      <c r="B25" t="s">
        <v>17</v>
      </c>
      <c r="C25">
        <v>2</v>
      </c>
      <c r="D25">
        <v>7</v>
      </c>
      <c r="E25" t="s">
        <v>35</v>
      </c>
      <c r="F25">
        <v>2</v>
      </c>
      <c r="G25" t="s">
        <v>44</v>
      </c>
      <c r="H25" s="1" t="s">
        <v>2</v>
      </c>
      <c r="I25" t="str">
        <f>CHASSIS(D25,E25,F25,G25,H25)</f>
        <v xml:space="preserve">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</v>
      </c>
    </row>
    <row r="26" spans="2:9" x14ac:dyDescent="0.25">
      <c r="B26" t="s">
        <v>17</v>
      </c>
      <c r="C26">
        <v>2</v>
      </c>
      <c r="D26">
        <v>8</v>
      </c>
      <c r="E26" t="s">
        <v>36</v>
      </c>
      <c r="F26">
        <v>1</v>
      </c>
      <c r="H26" s="1" t="s">
        <v>13</v>
      </c>
      <c r="I26" t="str">
        <f>CHASSIS(D26,E26,F26,G26,H26)</f>
        <v xml:space="preserve">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</v>
      </c>
    </row>
    <row r="27" spans="2:9" x14ac:dyDescent="0.25">
      <c r="B27" t="s">
        <v>17</v>
      </c>
      <c r="C27">
        <v>2</v>
      </c>
      <c r="D27">
        <v>9</v>
      </c>
      <c r="E27" t="s">
        <v>37</v>
      </c>
      <c r="F27">
        <v>6</v>
      </c>
      <c r="H27" s="1" t="s">
        <v>2</v>
      </c>
      <c r="I27" t="str">
        <f>CHASSIS(D27,E27,F27,G27,H27)</f>
        <v xml:space="preserve">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</v>
      </c>
    </row>
    <row r="28" spans="2:9" x14ac:dyDescent="0.25">
      <c r="B28" t="s">
        <v>17</v>
      </c>
      <c r="C28">
        <v>2</v>
      </c>
      <c r="D28">
        <v>10</v>
      </c>
      <c r="E28" t="s">
        <v>38</v>
      </c>
      <c r="F28">
        <v>16</v>
      </c>
      <c r="G28" t="s">
        <v>45</v>
      </c>
      <c r="H28" s="1" t="s">
        <v>13</v>
      </c>
      <c r="I28" t="str">
        <f>CHASSIS(D28,E28,F28,G28,H28)</f>
        <v xml:space="preserve">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</v>
      </c>
    </row>
    <row r="29" spans="2:9" x14ac:dyDescent="0.25">
      <c r="B29" t="s">
        <v>17</v>
      </c>
      <c r="C29">
        <v>2</v>
      </c>
      <c r="D29">
        <v>11</v>
      </c>
      <c r="E29" t="s">
        <v>39</v>
      </c>
      <c r="F29">
        <v>37</v>
      </c>
      <c r="G29" t="s">
        <v>46</v>
      </c>
      <c r="H29" s="1" t="s">
        <v>2</v>
      </c>
      <c r="I29" t="str">
        <f>CHASSIS(D29,E29,F29,G29,H29)</f>
        <v xml:space="preserve">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</v>
      </c>
    </row>
    <row r="30" spans="2:9" x14ac:dyDescent="0.25">
      <c r="B30" t="s">
        <v>17</v>
      </c>
      <c r="C30">
        <v>2</v>
      </c>
      <c r="D30">
        <v>12</v>
      </c>
      <c r="E30" t="s">
        <v>40</v>
      </c>
      <c r="F30">
        <v>3</v>
      </c>
      <c r="H30" s="1" t="s">
        <v>13</v>
      </c>
      <c r="I30" t="str">
        <f>CHASSIS(D30,E30,F30,G30,H30)</f>
        <v xml:space="preserve">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</v>
      </c>
    </row>
    <row r="31" spans="2:9" x14ac:dyDescent="0.25">
      <c r="B31" t="s">
        <v>17</v>
      </c>
      <c r="C31">
        <v>2</v>
      </c>
      <c r="D31">
        <v>13</v>
      </c>
      <c r="E31" t="s">
        <v>41</v>
      </c>
      <c r="F31">
        <v>1</v>
      </c>
      <c r="G31" t="s">
        <v>47</v>
      </c>
      <c r="H31" s="1" t="s">
        <v>2</v>
      </c>
      <c r="I31" t="str">
        <f>CHASSIS(D31,E31,F31,G31,H31)</f>
        <v xml:space="preserve">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</v>
      </c>
    </row>
    <row r="32" spans="2:9" x14ac:dyDescent="0.25">
      <c r="B32" t="s">
        <v>17</v>
      </c>
      <c r="C32">
        <v>2</v>
      </c>
      <c r="D32">
        <v>14</v>
      </c>
      <c r="E32" t="s">
        <v>42</v>
      </c>
      <c r="F32">
        <v>7</v>
      </c>
      <c r="G32" t="s">
        <v>48</v>
      </c>
      <c r="H32" s="1" t="s">
        <v>13</v>
      </c>
      <c r="I32" t="str">
        <f>CHASSIS(D32,E32,F32,G32,H32)</f>
        <v xml:space="preserve">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</v>
      </c>
    </row>
    <row r="33" spans="2:9" x14ac:dyDescent="0.25">
      <c r="B33" t="s">
        <v>49</v>
      </c>
      <c r="C33">
        <v>1</v>
      </c>
      <c r="D33">
        <v>1</v>
      </c>
      <c r="E33" t="s">
        <v>25</v>
      </c>
      <c r="F33" s="1" t="s">
        <v>26</v>
      </c>
      <c r="G33" t="s">
        <v>27</v>
      </c>
      <c r="H33" s="1" t="s">
        <v>2</v>
      </c>
      <c r="I33" t="str">
        <f>CHASSIS(D33,E33,F33,G33,H33)</f>
        <v xml:space="preserve">		&lt;chassis&gt;_x000D_
			&lt;chassisnumber&gt;1&lt;/chassisnumber&gt;_x000D_
			&lt;chassisworldlabeltext&gt;Memory Unit&lt;/chassisworldlabeltext&gt;_x000D_
			&lt;chassisworldlabelnumber&gt;1/5&lt;/chassisworldlabelnumber&gt;_x000D_
			&lt;chassisuilabel&gt;Storage Regeneration Unit&lt;/chassisuilabel&gt;_x000D_
			&lt;chassistype&gt;01&lt;/chassistype&gt;_x000D_
		&lt;/chassis&gt;_x000D_
</v>
      </c>
    </row>
    <row r="34" spans="2:9" x14ac:dyDescent="0.25">
      <c r="B34" t="s">
        <v>49</v>
      </c>
      <c r="C34">
        <v>1</v>
      </c>
      <c r="D34">
        <v>2</v>
      </c>
      <c r="E34" t="s">
        <v>25</v>
      </c>
      <c r="F34" s="1" t="s">
        <v>29</v>
      </c>
      <c r="G34" t="s">
        <v>27</v>
      </c>
      <c r="H34" s="1" t="s">
        <v>13</v>
      </c>
      <c r="I34" t="str">
        <f>CHASSIS(D34,E34,F34,G34,H34)</f>
        <v xml:space="preserve">		&lt;chassis&gt;_x000D_
			&lt;chassisnumber&gt;2&lt;/chassisnumber&gt;_x000D_
			&lt;chassisworldlabeltext&gt;Memory Unit&lt;/chassisworldlabeltext&gt;_x000D_
			&lt;chassisworldlabelnumber&gt;2/5&lt;/chassisworldlabelnumber&gt;_x000D_
			&lt;chassisuilabel&gt;Storage Regeneration Unit&lt;/chassisuilabel&gt;_x000D_
			&lt;chassistype&gt;02&lt;/chassistype&gt;_x000D_
		&lt;/chassis&gt;_x000D_
</v>
      </c>
    </row>
    <row r="35" spans="2:9" x14ac:dyDescent="0.25">
      <c r="B35" t="s">
        <v>49</v>
      </c>
      <c r="C35">
        <v>1</v>
      </c>
      <c r="D35">
        <v>3</v>
      </c>
      <c r="E35" t="s">
        <v>25</v>
      </c>
      <c r="F35" s="1" t="s">
        <v>30</v>
      </c>
      <c r="G35" t="s">
        <v>27</v>
      </c>
      <c r="H35" s="1" t="s">
        <v>2</v>
      </c>
      <c r="I35" t="str">
        <f>CHASSIS(D35,E35,F35,G35,H35)</f>
        <v xml:space="preserve">		&lt;chassis&gt;_x000D_
			&lt;chassisnumber&gt;3&lt;/chassisnumber&gt;_x000D_
			&lt;chassisworldlabeltext&gt;Memory Unit&lt;/chassisworldlabeltext&gt;_x000D_
			&lt;chassisworldlabelnumber&gt;3/5&lt;/chassisworldlabelnumber&gt;_x000D_
			&lt;chassisuilabel&gt;Storage Regeneration Unit&lt;/chassisuilabel&gt;_x000D_
			&lt;chassistype&gt;01&lt;/chassistype&gt;_x000D_
		&lt;/chassis&gt;_x000D_
</v>
      </c>
    </row>
    <row r="36" spans="2:9" x14ac:dyDescent="0.25">
      <c r="B36" t="s">
        <v>49</v>
      </c>
      <c r="C36">
        <v>1</v>
      </c>
      <c r="D36">
        <v>4</v>
      </c>
      <c r="E36" t="s">
        <v>25</v>
      </c>
      <c r="F36" s="1" t="s">
        <v>31</v>
      </c>
      <c r="G36" t="s">
        <v>27</v>
      </c>
      <c r="H36" s="1" t="s">
        <v>13</v>
      </c>
      <c r="I36" t="str">
        <f>CHASSIS(D36,E36,F36,G36,H36)</f>
        <v xml:space="preserve">		&lt;chassis&gt;_x000D_
			&lt;chassisnumber&gt;4&lt;/chassisnumber&gt;_x000D_
			&lt;chassisworldlabeltext&gt;Memory Unit&lt;/chassisworldlabeltext&gt;_x000D_
			&lt;chassisworldlabelnumber&gt;4/5&lt;/chassisworldlabelnumber&gt;_x000D_
			&lt;chassisuilabel&gt;Storage Regeneration Unit&lt;/chassisuilabel&gt;_x000D_
			&lt;chassistype&gt;02&lt;/chassistype&gt;_x000D_
		&lt;/chassis&gt;_x000D_
</v>
      </c>
    </row>
    <row r="37" spans="2:9" x14ac:dyDescent="0.25">
      <c r="B37" t="s">
        <v>49</v>
      </c>
      <c r="C37">
        <v>1</v>
      </c>
      <c r="D37">
        <v>5</v>
      </c>
      <c r="E37" t="s">
        <v>25</v>
      </c>
      <c r="F37" s="1" t="s">
        <v>32</v>
      </c>
      <c r="G37" t="s">
        <v>27</v>
      </c>
      <c r="H37" s="1" t="s">
        <v>2</v>
      </c>
      <c r="I37" t="str">
        <f>CHASSIS(D37,E37,F37,G37,H37)</f>
        <v xml:space="preserve">		&lt;chassis&gt;_x000D_
			&lt;chassisnumber&gt;5&lt;/chassisnumber&gt;_x000D_
			&lt;chassisworldlabeltext&gt;Memory Unit&lt;/chassisworldlabeltext&gt;_x000D_
			&lt;chassisworldlabelnumber&gt;5/5&lt;/chassisworldlabelnumber&gt;_x000D_
			&lt;chassisuilabel&gt;Storage Regeneration Unit&lt;/chassisuilabel&gt;_x000D_
			&lt;chassistype&gt;01&lt;/chassistype&gt;_x000D_
		&lt;/chassis&gt;_x000D_
</v>
      </c>
    </row>
    <row r="38" spans="2:9" x14ac:dyDescent="0.25">
      <c r="B38" t="s">
        <v>49</v>
      </c>
      <c r="C38">
        <v>1</v>
      </c>
      <c r="D38">
        <v>6</v>
      </c>
      <c r="E38" t="s">
        <v>33</v>
      </c>
      <c r="F38" t="s">
        <v>34</v>
      </c>
      <c r="G38" t="s">
        <v>43</v>
      </c>
      <c r="H38" s="1" t="s">
        <v>13</v>
      </c>
      <c r="I38" t="str">
        <f>CHASSIS(D38,E38,F38,G38,H38)</f>
        <v xml:space="preserve">		&lt;chassis&gt;_x000D_
			&lt;chassisnumber&gt;6&lt;/chassisnumber&gt;_x000D_
			&lt;chassisworldlabeltext&gt;Things&lt;/chassisworldlabeltext&gt;_x000D_
			&lt;chassisworldlabelnumber&gt;xy&lt;/chassisworldlabelnumber&gt;_x000D_
			&lt;chassisuilabel&gt;COINASDOINASD&lt;/chassisuilabel&gt;_x000D_
			&lt;chassistype&gt;02&lt;/chassistype&gt;_x000D_
		&lt;/chassis&gt;_x000D_
</v>
      </c>
    </row>
    <row r="39" spans="2:9" x14ac:dyDescent="0.25">
      <c r="B39" t="s">
        <v>49</v>
      </c>
      <c r="C39">
        <v>1</v>
      </c>
      <c r="D39">
        <v>7</v>
      </c>
      <c r="E39" t="s">
        <v>35</v>
      </c>
      <c r="F39">
        <v>2</v>
      </c>
      <c r="G39" t="s">
        <v>44</v>
      </c>
      <c r="H39" s="1" t="s">
        <v>2</v>
      </c>
      <c r="I39" t="str">
        <f>CHASSIS(D39,E39,F39,G39,H39)</f>
        <v xml:space="preserve">		&lt;chassis&gt;_x000D_
			&lt;chassisnumber&gt;7&lt;/chassisnumber&gt;_x000D_
			&lt;chassisworldlabeltext&gt;a&lt;/chassisworldlabeltext&gt;_x000D_
			&lt;chassisworldlabelnumber&gt;2&lt;/chassisworldlabelnumber&gt;_x000D_
			&lt;chassisuilabel&gt;asondasd&lt;/chassisuilabel&gt;_x000D_
			&lt;chassistype&gt;01&lt;/chassistype&gt;_x000D_
		&lt;/chassis&gt;_x000D_
</v>
      </c>
    </row>
    <row r="40" spans="2:9" x14ac:dyDescent="0.25">
      <c r="B40" t="s">
        <v>49</v>
      </c>
      <c r="C40">
        <v>1</v>
      </c>
      <c r="D40">
        <v>8</v>
      </c>
      <c r="E40" t="s">
        <v>36</v>
      </c>
      <c r="F40">
        <v>1</v>
      </c>
      <c r="H40" s="1" t="s">
        <v>13</v>
      </c>
      <c r="I40" t="str">
        <f>CHASSIS(D40,E40,F40,G40,H40)</f>
        <v xml:space="preserve">		&lt;chassis&gt;_x000D_
			&lt;chassisnumber&gt;8&lt;/chassisnumber&gt;_x000D_
			&lt;chassisworldlabeltext&gt;b&lt;/chassisworldlabeltext&gt;_x000D_
			&lt;chassisworldlabelnumber&gt;1&lt;/chassisworldlabelnumber&gt;_x000D_
			&lt;chassisuilabel&gt;&lt;/chassisuilabel&gt;_x000D_
			&lt;chassistype&gt;02&lt;/chassistype&gt;_x000D_
		&lt;/chassis&gt;_x000D_
</v>
      </c>
    </row>
    <row r="41" spans="2:9" x14ac:dyDescent="0.25">
      <c r="B41" t="s">
        <v>49</v>
      </c>
      <c r="C41">
        <v>1</v>
      </c>
      <c r="D41">
        <v>9</v>
      </c>
      <c r="E41" t="s">
        <v>37</v>
      </c>
      <c r="F41">
        <v>6</v>
      </c>
      <c r="H41" s="1" t="s">
        <v>2</v>
      </c>
      <c r="I41" t="str">
        <f>CHASSIS(D41,E41,F41,G41,H41)</f>
        <v xml:space="preserve">		&lt;chassis&gt;_x000D_
			&lt;chassisnumber&gt;9&lt;/chassisnumber&gt;_x000D_
			&lt;chassisworldlabeltext&gt;s&lt;/chassisworldlabeltext&gt;_x000D_
			&lt;chassisworldlabelnumber&gt;6&lt;/chassisworldlabelnumber&gt;_x000D_
			&lt;chassisuilabel&gt;&lt;/chassisuilabel&gt;_x000D_
			&lt;chassistype&gt;01&lt;/chassistype&gt;_x000D_
		&lt;/chassis&gt;_x000D_
</v>
      </c>
    </row>
    <row r="42" spans="2:9" x14ac:dyDescent="0.25">
      <c r="B42" t="s">
        <v>49</v>
      </c>
      <c r="C42">
        <v>1</v>
      </c>
      <c r="D42">
        <v>10</v>
      </c>
      <c r="E42" t="s">
        <v>38</v>
      </c>
      <c r="F42">
        <v>16</v>
      </c>
      <c r="G42" t="s">
        <v>45</v>
      </c>
      <c r="H42" s="1" t="s">
        <v>13</v>
      </c>
      <c r="I42" t="str">
        <f>CHASSIS(D42,E42,F42,G42,H42)</f>
        <v xml:space="preserve">		&lt;chassis&gt;_x000D_
			&lt;chassisnumber&gt;10&lt;/chassisnumber&gt;_x000D_
			&lt;chassisworldlabeltext&gt;c&lt;/chassisworldlabeltext&gt;_x000D_
			&lt;chassisworldlabelnumber&gt;16&lt;/chassisworldlabelnumber&gt;_x000D_
			&lt;chassisuilabel&gt;asdna&lt;/chassisuilabel&gt;_x000D_
			&lt;chassistype&gt;02&lt;/chassistype&gt;_x000D_
		&lt;/chassis&gt;_x000D_
</v>
      </c>
    </row>
    <row r="43" spans="2:9" x14ac:dyDescent="0.25">
      <c r="B43" t="s">
        <v>49</v>
      </c>
      <c r="C43">
        <v>1</v>
      </c>
      <c r="D43">
        <v>11</v>
      </c>
      <c r="E43" t="s">
        <v>39</v>
      </c>
      <c r="F43">
        <v>37</v>
      </c>
      <c r="G43" t="s">
        <v>46</v>
      </c>
      <c r="H43" s="1" t="s">
        <v>2</v>
      </c>
      <c r="I43" t="str">
        <f>CHASSIS(D43,E43,F43,G43,H43)</f>
        <v xml:space="preserve">		&lt;chassis&gt;_x000D_
			&lt;chassisnumber&gt;11&lt;/chassisnumber&gt;_x000D_
			&lt;chassisworldlabeltext&gt;sad&lt;/chassisworldlabeltext&gt;_x000D_
			&lt;chassisworldlabelnumber&gt;37&lt;/chassisworldlabelnumber&gt;_x000D_
			&lt;chassisuilabel&gt;sdnas&lt;/chassisuilabel&gt;_x000D_
			&lt;chassistype&gt;01&lt;/chassistype&gt;_x000D_
		&lt;/chassis&gt;_x000D_
</v>
      </c>
    </row>
    <row r="44" spans="2:9" x14ac:dyDescent="0.25">
      <c r="B44" t="s">
        <v>49</v>
      </c>
      <c r="C44">
        <v>1</v>
      </c>
      <c r="D44">
        <v>12</v>
      </c>
      <c r="E44" t="s">
        <v>40</v>
      </c>
      <c r="F44">
        <v>3</v>
      </c>
      <c r="H44" s="1" t="s">
        <v>13</v>
      </c>
      <c r="I44" t="str">
        <f>CHASSIS(D44,E44,F44,G44,H44)</f>
        <v xml:space="preserve">		&lt;chassis&gt;_x000D_
			&lt;chassisnumber&gt;12&lt;/chassisnumber&gt;_x000D_
			&lt;chassisworldlabeltext&gt;g&lt;/chassisworldlabeltext&gt;_x000D_
			&lt;chassisworldlabelnumber&gt;3&lt;/chassisworldlabelnumber&gt;_x000D_
			&lt;chassisuilabel&gt;&lt;/chassisuilabel&gt;_x000D_
			&lt;chassistype&gt;02&lt;/chassistype&gt;_x000D_
		&lt;/chassis&gt;_x000D_
</v>
      </c>
    </row>
    <row r="45" spans="2:9" x14ac:dyDescent="0.25">
      <c r="B45" t="s">
        <v>49</v>
      </c>
      <c r="C45">
        <v>1</v>
      </c>
      <c r="D45">
        <v>13</v>
      </c>
      <c r="E45" t="s">
        <v>41</v>
      </c>
      <c r="F45">
        <v>1</v>
      </c>
      <c r="G45" t="s">
        <v>47</v>
      </c>
      <c r="H45" s="1" t="s">
        <v>2</v>
      </c>
      <c r="I45" t="str">
        <f>CHASSIS(D45,E45,F45,G45,H45)</f>
        <v xml:space="preserve">		&lt;chassis&gt;_x000D_
			&lt;chassisnumber&gt;13&lt;/chassisnumber&gt;_x000D_
			&lt;chassisworldlabeltext&gt;h&lt;/chassisworldlabeltext&gt;_x000D_
			&lt;chassisworldlabelnumber&gt;1&lt;/chassisworldlabelnumber&gt;_x000D_
			&lt;chassisuilabel&gt;ansdna&lt;/chassisuilabel&gt;_x000D_
			&lt;chassistype&gt;01&lt;/chassistype&gt;_x000D_
		&lt;/chassis&gt;_x000D_
</v>
      </c>
    </row>
    <row r="46" spans="2:9" x14ac:dyDescent="0.25">
      <c r="B46" t="s">
        <v>49</v>
      </c>
      <c r="C46">
        <v>1</v>
      </c>
      <c r="D46">
        <v>14</v>
      </c>
      <c r="E46" t="s">
        <v>42</v>
      </c>
      <c r="F46">
        <v>7</v>
      </c>
      <c r="G46" t="s">
        <v>48</v>
      </c>
      <c r="H46" s="1" t="s">
        <v>13</v>
      </c>
      <c r="I46" t="str">
        <f>CHASSIS(D46,E46,F46,G46,H46)</f>
        <v xml:space="preserve">		&lt;chassis&gt;_x000D_
			&lt;chassisnumber&gt;14&lt;/chassisnumber&gt;_x000D_
			&lt;chassisworldlabeltext&gt;ah&lt;/chassisworldlabeltext&gt;_x000D_
			&lt;chassisworldlabelnumber&gt;7&lt;/chassisworldlabelnumber&gt;_x000D_
			&lt;chassisuilabel&gt;as&lt;/chassisuilabel&gt;_x000D_
			&lt;chassistype&gt;02&lt;/chassistype&gt;_x000D_
		&lt;/chassis&gt;_x000D_
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EDSAC</vt:lpstr>
      <vt:lpstr>Chassis Definitions</vt:lpstr>
      <vt:lpstr>Valves</vt:lpstr>
      <vt:lpstr>Rows</vt:lpstr>
      <vt:lpstr>Racks</vt:lpstr>
      <vt:lpstr>Chassis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Stuart</dc:creator>
  <cp:lastModifiedBy>Chris Stuart</cp:lastModifiedBy>
  <dcterms:created xsi:type="dcterms:W3CDTF">2015-08-11T21:34:07Z</dcterms:created>
  <dcterms:modified xsi:type="dcterms:W3CDTF">2015-08-11T23:05:53Z</dcterms:modified>
</cp:coreProperties>
</file>