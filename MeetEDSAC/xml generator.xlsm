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is24\Documents\GitHub\Meet-EDSAC\MeetEDSAC\"/>
    </mc:Choice>
  </mc:AlternateContent>
  <bookViews>
    <workbookView xWindow="0" yWindow="75" windowWidth="20115" windowHeight="7755"/>
  </bookViews>
  <sheets>
    <sheet name="EDSAC" sheetId="3" r:id="rId1"/>
    <sheet name="Chassis Definitions" sheetId="1" r:id="rId2"/>
    <sheet name="Valves" sheetId="2" r:id="rId3"/>
    <sheet name="Rows" sheetId="4" r:id="rId4"/>
    <sheet name="Racks" sheetId="5" r:id="rId5"/>
    <sheet name="Chassis" sheetId="6" r:id="rId6"/>
  </sheets>
  <functionGroups builtInGroupCount="18"/>
  <calcPr calcId="152511"/>
</workbook>
</file>

<file path=xl/calcChain.xml><?xml version="1.0" encoding="utf-8"?>
<calcChain xmlns="http://schemas.openxmlformats.org/spreadsheetml/2006/main">
  <c r="D6" i="1" l="1"/>
  <c r="C7" i="4"/>
  <c r="C6" i="4"/>
  <c r="C5" i="4"/>
  <c r="D16" i="5"/>
  <c r="D12" i="5"/>
  <c r="D8" i="5"/>
  <c r="D5" i="5"/>
  <c r="D15" i="5"/>
  <c r="D11" i="5"/>
  <c r="D7" i="5"/>
  <c r="D9" i="5"/>
  <c r="D14" i="5"/>
  <c r="D10" i="5"/>
  <c r="D6" i="5"/>
  <c r="D13" i="5"/>
  <c r="I143" i="6"/>
  <c r="I139" i="6"/>
  <c r="I135" i="6"/>
  <c r="I131" i="6"/>
  <c r="I127" i="6"/>
  <c r="I123" i="6"/>
  <c r="I119" i="6"/>
  <c r="I115" i="6"/>
  <c r="I111" i="6"/>
  <c r="I107" i="6"/>
  <c r="I103" i="6"/>
  <c r="I99" i="6"/>
  <c r="I95" i="6"/>
  <c r="I91" i="6"/>
  <c r="I87" i="6"/>
  <c r="I83" i="6"/>
  <c r="I79" i="6"/>
  <c r="I75" i="6"/>
  <c r="I71" i="6"/>
  <c r="I67" i="6"/>
  <c r="I63" i="6"/>
  <c r="I59" i="6"/>
  <c r="I55" i="6"/>
  <c r="I51" i="6"/>
  <c r="I47" i="6"/>
  <c r="I43" i="6"/>
  <c r="I39" i="6"/>
  <c r="I35" i="6"/>
  <c r="I31" i="6"/>
  <c r="I27" i="6"/>
  <c r="I23" i="6"/>
  <c r="I19" i="6"/>
  <c r="I15" i="6"/>
  <c r="I11" i="6"/>
  <c r="I7" i="6"/>
  <c r="I132" i="6"/>
  <c r="I116" i="6"/>
  <c r="I104" i="6"/>
  <c r="I92" i="6"/>
  <c r="I80" i="6"/>
  <c r="I68" i="6"/>
  <c r="I56" i="6"/>
  <c r="I44" i="6"/>
  <c r="I28" i="6"/>
  <c r="I20" i="6"/>
  <c r="I8" i="6"/>
  <c r="I142" i="6"/>
  <c r="I138" i="6"/>
  <c r="I134" i="6"/>
  <c r="I130" i="6"/>
  <c r="I126" i="6"/>
  <c r="I122" i="6"/>
  <c r="I118" i="6"/>
  <c r="I114" i="6"/>
  <c r="I110" i="6"/>
  <c r="I106" i="6"/>
  <c r="I102" i="6"/>
  <c r="I98" i="6"/>
  <c r="I94" i="6"/>
  <c r="I90" i="6"/>
  <c r="I86" i="6"/>
  <c r="I82" i="6"/>
  <c r="I78" i="6"/>
  <c r="I74" i="6"/>
  <c r="I70" i="6"/>
  <c r="I66" i="6"/>
  <c r="I62" i="6"/>
  <c r="I58" i="6"/>
  <c r="I54" i="6"/>
  <c r="I50" i="6"/>
  <c r="I46" i="6"/>
  <c r="I42" i="6"/>
  <c r="I38" i="6"/>
  <c r="I34" i="6"/>
  <c r="I30" i="6"/>
  <c r="I26" i="6"/>
  <c r="I22" i="6"/>
  <c r="I18" i="6"/>
  <c r="I14" i="6"/>
  <c r="I10" i="6"/>
  <c r="I6" i="6"/>
  <c r="I136" i="6"/>
  <c r="I120" i="6"/>
  <c r="I108" i="6"/>
  <c r="I96" i="6"/>
  <c r="I84" i="6"/>
  <c r="I72" i="6"/>
  <c r="I64" i="6"/>
  <c r="I48" i="6"/>
  <c r="I36" i="6"/>
  <c r="I24" i="6"/>
  <c r="I12" i="6"/>
  <c r="I141" i="6"/>
  <c r="I137" i="6"/>
  <c r="I133" i="6"/>
  <c r="I129" i="6"/>
  <c r="I125" i="6"/>
  <c r="I121" i="6"/>
  <c r="I117" i="6"/>
  <c r="I113" i="6"/>
  <c r="I109" i="6"/>
  <c r="I105" i="6"/>
  <c r="I101" i="6"/>
  <c r="I97" i="6"/>
  <c r="I93" i="6"/>
  <c r="I89" i="6"/>
  <c r="I85" i="6"/>
  <c r="I81" i="6"/>
  <c r="I77" i="6"/>
  <c r="I73" i="6"/>
  <c r="I69" i="6"/>
  <c r="I65" i="6"/>
  <c r="I61" i="6"/>
  <c r="I57" i="6"/>
  <c r="I53" i="6"/>
  <c r="I49" i="6"/>
  <c r="I45" i="6"/>
  <c r="I41" i="6"/>
  <c r="I37" i="6"/>
  <c r="I33" i="6"/>
  <c r="I29" i="6"/>
  <c r="I25" i="6"/>
  <c r="I21" i="6"/>
  <c r="I17" i="6"/>
  <c r="I13" i="6"/>
  <c r="I9" i="6"/>
  <c r="I5" i="6"/>
  <c r="I140" i="6"/>
  <c r="I128" i="6"/>
  <c r="I124" i="6"/>
  <c r="I112" i="6"/>
  <c r="I100" i="6"/>
  <c r="I88" i="6"/>
  <c r="I76" i="6"/>
  <c r="I60" i="6"/>
  <c r="I52" i="6"/>
  <c r="I40" i="6"/>
  <c r="I32" i="6"/>
  <c r="I16" i="6"/>
  <c r="G52" i="2" l="1"/>
  <c r="C52" i="2" s="1"/>
  <c r="G51" i="2"/>
  <c r="C51" i="2" s="1"/>
  <c r="G50" i="2"/>
  <c r="C50" i="2" s="1"/>
  <c r="G49" i="2"/>
  <c r="C49" i="2" s="1"/>
  <c r="G48" i="2"/>
  <c r="C48" i="2" s="1"/>
  <c r="G47" i="2"/>
  <c r="C47" i="2" s="1"/>
  <c r="G46" i="2"/>
  <c r="C46" i="2" s="1"/>
  <c r="G45" i="2"/>
  <c r="C45" i="2" s="1"/>
  <c r="G44" i="2"/>
  <c r="C44" i="2" s="1"/>
  <c r="G43" i="2"/>
  <c r="C43" i="2" s="1"/>
  <c r="D43" i="2"/>
  <c r="G42" i="2"/>
  <c r="C42" i="2" s="1"/>
  <c r="G41" i="2"/>
  <c r="C41" i="2" s="1"/>
  <c r="G40" i="2"/>
  <c r="C40" i="2" s="1"/>
  <c r="G39" i="2"/>
  <c r="C39" i="2" s="1"/>
  <c r="G38" i="2"/>
  <c r="C38" i="2" s="1"/>
  <c r="G37" i="2"/>
  <c r="C37" i="2" s="1"/>
  <c r="G36" i="2"/>
  <c r="C36" i="2" s="1"/>
  <c r="G35" i="2"/>
  <c r="C35" i="2" s="1"/>
  <c r="G34" i="2"/>
  <c r="C34" i="2" s="1"/>
  <c r="G33" i="2"/>
  <c r="C33" i="2" s="1"/>
  <c r="G32" i="2"/>
  <c r="C32" i="2" s="1"/>
  <c r="G31" i="2"/>
  <c r="C31" i="2" s="1"/>
  <c r="G30" i="2"/>
  <c r="C30" i="2" s="1"/>
  <c r="D30" i="2"/>
  <c r="G29" i="2"/>
  <c r="C29" i="2" s="1"/>
  <c r="G20" i="2"/>
  <c r="C20" i="2" s="1"/>
  <c r="G21" i="2"/>
  <c r="C21" i="2" s="1"/>
  <c r="G22" i="2"/>
  <c r="C22" i="2" s="1"/>
  <c r="G23" i="2"/>
  <c r="C23" i="2" s="1"/>
  <c r="G24" i="2"/>
  <c r="C24" i="2" s="1"/>
  <c r="G25" i="2"/>
  <c r="C25" i="2" s="1"/>
  <c r="G26" i="2"/>
  <c r="C26" i="2" s="1"/>
  <c r="G27" i="2"/>
  <c r="C27" i="2" s="1"/>
  <c r="G28" i="2"/>
  <c r="C28" i="2" s="1"/>
  <c r="G19" i="2"/>
  <c r="C19" i="2" s="1"/>
  <c r="D19" i="2"/>
  <c r="G6" i="2"/>
  <c r="C6" i="2" s="1"/>
  <c r="G7" i="2"/>
  <c r="C7" i="2" s="1"/>
  <c r="G8" i="2"/>
  <c r="C8" i="2" s="1"/>
  <c r="G9" i="2"/>
  <c r="C9" i="2" s="1"/>
  <c r="G10" i="2"/>
  <c r="C10" i="2" s="1"/>
  <c r="G11" i="2"/>
  <c r="C11" i="2" s="1"/>
  <c r="G12" i="2"/>
  <c r="C12" i="2" s="1"/>
  <c r="G13" i="2"/>
  <c r="C13" i="2" s="1"/>
  <c r="G14" i="2"/>
  <c r="C14" i="2" s="1"/>
  <c r="G15" i="2"/>
  <c r="C15" i="2" s="1"/>
  <c r="G16" i="2"/>
  <c r="C16" i="2" s="1"/>
  <c r="G17" i="2"/>
  <c r="C17" i="2" s="1"/>
  <c r="G18" i="2"/>
  <c r="C18" i="2" s="1"/>
  <c r="G5" i="2"/>
  <c r="C5" i="2" s="1"/>
  <c r="D6" i="2"/>
  <c r="F30" i="2"/>
  <c r="F19" i="2"/>
  <c r="F29" i="2"/>
  <c r="F6" i="2"/>
  <c r="F43" i="2"/>
  <c r="F5" i="2"/>
  <c r="D20" i="2" l="1"/>
  <c r="D31" i="2"/>
  <c r="D7" i="2"/>
  <c r="D44" i="2"/>
  <c r="F20" i="2"/>
  <c r="F31" i="2"/>
  <c r="F7" i="2"/>
  <c r="F44" i="2"/>
  <c r="D8" i="2" l="1"/>
  <c r="D32" i="2"/>
  <c r="D21" i="2"/>
  <c r="D45" i="2"/>
  <c r="F8" i="2"/>
  <c r="F32" i="2"/>
  <c r="F21" i="2"/>
  <c r="F45" i="2"/>
  <c r="D22" i="2" l="1"/>
  <c r="D33" i="2"/>
  <c r="D9" i="2"/>
  <c r="D46" i="2"/>
  <c r="F22" i="2"/>
  <c r="F9" i="2"/>
  <c r="F46" i="2"/>
  <c r="F33" i="2"/>
  <c r="D47" i="2" l="1"/>
  <c r="D10" i="2"/>
  <c r="D34" i="2"/>
  <c r="D23" i="2"/>
  <c r="F34" i="2"/>
  <c r="F23" i="2"/>
  <c r="F47" i="2"/>
  <c r="F10" i="2"/>
  <c r="D24" i="2" l="1"/>
  <c r="D35" i="2"/>
  <c r="D11" i="2"/>
  <c r="D48" i="2"/>
  <c r="F24" i="2"/>
  <c r="F48" i="2"/>
  <c r="F35" i="2"/>
  <c r="F11" i="2"/>
  <c r="D49" i="2" l="1"/>
  <c r="D12" i="2"/>
  <c r="D36" i="2"/>
  <c r="D25" i="2"/>
  <c r="F49" i="2"/>
  <c r="F25" i="2"/>
  <c r="F12" i="2"/>
  <c r="F36" i="2"/>
  <c r="D26" i="2" l="1"/>
  <c r="D37" i="2"/>
  <c r="D13" i="2"/>
  <c r="D50" i="2"/>
  <c r="F26" i="2"/>
  <c r="F13" i="2"/>
  <c r="F50" i="2"/>
  <c r="F37" i="2"/>
  <c r="D51" i="2" l="1"/>
  <c r="D14" i="2"/>
  <c r="D38" i="2"/>
  <c r="D27" i="2"/>
  <c r="F51" i="2"/>
  <c r="F38" i="2"/>
  <c r="F27" i="2"/>
  <c r="F14" i="2"/>
  <c r="D28" i="2" l="1"/>
  <c r="D39" i="2"/>
  <c r="D15" i="2"/>
  <c r="D52" i="2"/>
  <c r="F28" i="2"/>
  <c r="F15" i="2"/>
  <c r="F52" i="2"/>
  <c r="F39" i="2"/>
  <c r="D16" i="2" l="1"/>
  <c r="D40" i="2"/>
  <c r="F16" i="2"/>
  <c r="F40" i="2"/>
  <c r="D41" i="2" l="1"/>
  <c r="D17" i="2"/>
  <c r="F41" i="2"/>
  <c r="F17" i="2"/>
  <c r="D42" i="2" l="1"/>
  <c r="D18" i="2"/>
  <c r="F42" i="2"/>
  <c r="F18" i="2"/>
  <c r="D5" i="1" s="1"/>
  <c r="B2" i="3" s="1"/>
  <c r="C2" i="3" l="1"/>
</calcChain>
</file>

<file path=xl/sharedStrings.xml><?xml version="1.0" encoding="utf-8"?>
<sst xmlns="http://schemas.openxmlformats.org/spreadsheetml/2006/main" count="1533" uniqueCount="332">
  <si>
    <t>Chassis Definitions</t>
  </si>
  <si>
    <t>Type</t>
  </si>
  <si>
    <t>Testing Points</t>
  </si>
  <si>
    <t>1</t>
  </si>
  <si>
    <t>Valves</t>
  </si>
  <si>
    <t>chassistype</t>
  </si>
  <si>
    <t>valvetype</t>
  </si>
  <si>
    <t>valvex</t>
  </si>
  <si>
    <t>valvey</t>
  </si>
  <si>
    <t>&lt;valve&gt;</t>
  </si>
  <si>
    <t>&lt;chassisdefinition&gt;</t>
  </si>
  <si>
    <t>There is a limit of 5,000 valves in the code. This can be raised if it turns out to be necessary!</t>
  </si>
  <si>
    <t>02</t>
  </si>
  <si>
    <t>4</t>
  </si>
  <si>
    <t>ran#</t>
  </si>
  <si>
    <t>rowname</t>
  </si>
  <si>
    <t>Rear</t>
  </si>
  <si>
    <t>racks</t>
  </si>
  <si>
    <t>racknumber</t>
  </si>
  <si>
    <t>chassis</t>
  </si>
  <si>
    <t>chassisnumber</t>
  </si>
  <si>
    <t>chassisworldlabeltext</t>
  </si>
  <si>
    <t>chassisworldlabelnumber</t>
  </si>
  <si>
    <t>chassisuilabel</t>
  </si>
  <si>
    <t>Chassis</t>
  </si>
  <si>
    <t>Middle</t>
  </si>
  <si>
    <t>Front</t>
  </si>
  <si>
    <t>Racks</t>
  </si>
  <si>
    <t>Rows</t>
  </si>
  <si>
    <t>Generated XML:</t>
  </si>
  <si>
    <t>&lt;?xml version="1.0"?&gt;</t>
  </si>
  <si>
    <t>&lt;EDSAC&gt;</t>
  </si>
  <si>
    <t>&lt;testingpoints&gt;1&lt;/testingpoints&gt;</t>
  </si>
  <si>
    <t>&lt;valvetype&gt;BigShiny&lt;/valvetype&gt;</t>
  </si>
  <si>
    <t>&lt;valvex&gt;0.34&lt;/valvex&gt;</t>
  </si>
  <si>
    <t>&lt;valvey&gt;0.006&lt;/valvey&gt;</t>
  </si>
  <si>
    <t>&lt;/valve&gt;</t>
  </si>
  <si>
    <t>&lt;valvetype&gt;BigFlat&lt;/valvetype&gt;</t>
  </si>
  <si>
    <t>&lt;valvex&gt;0.288&lt;/valvex&gt;</t>
  </si>
  <si>
    <t>&lt;valvey&gt;0.055&lt;/valvey&gt;</t>
  </si>
  <si>
    <t>&lt;valvex&gt;0.236&lt;/valvex&gt;</t>
  </si>
  <si>
    <t>&lt;valvex&gt;0.184&lt;/valvex&gt;</t>
  </si>
  <si>
    <t>&lt;valvex&gt;0.132&lt;/valvex&gt;</t>
  </si>
  <si>
    <t>&lt;valvex&gt;0.08&lt;/valvex&gt;</t>
  </si>
  <si>
    <t>&lt;valvex&gt;0.028&lt;/valvex&gt;</t>
  </si>
  <si>
    <t>&lt;valvex&gt;-0.024&lt;/valvex&gt;</t>
  </si>
  <si>
    <t>&lt;valvex&gt;-0.076&lt;/valvex&gt;</t>
  </si>
  <si>
    <t>&lt;valvex&gt;-0.128&lt;/valvex&gt;</t>
  </si>
  <si>
    <t>&lt;valvex&gt;-0.18&lt;/valvex&gt;</t>
  </si>
  <si>
    <t>&lt;valvex&gt;-0.232&lt;/valvex&gt;</t>
  </si>
  <si>
    <t>&lt;valvex&gt;-0.284&lt;/valvex&gt;</t>
  </si>
  <si>
    <t>&lt;valvex&gt;-0.336&lt;/valvex&gt;</t>
  </si>
  <si>
    <t>&lt;valvetype&gt;SmallCream&lt;/valvetype&gt;</t>
  </si>
  <si>
    <t>&lt;valvex&gt;0.21&lt;/valvex&gt;</t>
  </si>
  <si>
    <t>&lt;valvetype&gt;SmallBlack&lt;/valvetype&gt;</t>
  </si>
  <si>
    <t>&lt;valvex&gt;0.158&lt;/valvex&gt;</t>
  </si>
  <si>
    <t>&lt;valvex&gt;0.106&lt;/valvex&gt;</t>
  </si>
  <si>
    <t>&lt;valvetype&gt;SmallRed&lt;/valvetype&gt;</t>
  </si>
  <si>
    <t>&lt;valvex&gt;0.054&lt;/valvex&gt;</t>
  </si>
  <si>
    <t>&lt;valvex&gt;0.002&lt;/valvex&gt;</t>
  </si>
  <si>
    <t>&lt;valvex&gt;-0.05&lt;/valvex&gt;</t>
  </si>
  <si>
    <t>&lt;valvex&gt;-0.102&lt;/valvex&gt;</t>
  </si>
  <si>
    <t>&lt;valvex&gt;-0.154&lt;/valvex&gt;</t>
  </si>
  <si>
    <t>&lt;valvex&gt;-0.206&lt;/valvex&gt;</t>
  </si>
  <si>
    <t>&lt;valvex&gt;-0.258&lt;/valvex&gt;</t>
  </si>
  <si>
    <t>&lt;/chassisdefinition&gt;</t>
  </si>
  <si>
    <t>&lt;testingpoints&gt;4&lt;/testingpoints&gt;</t>
  </si>
  <si>
    <t>&lt;row&gt;</t>
  </si>
  <si>
    <t>&lt;rowname&gt;Rear&lt;/rowname&gt;</t>
  </si>
  <si>
    <t>&lt;rack&gt;</t>
  </si>
  <si>
    <t>&lt;racknumber&gt;1&lt;/racknumber&gt;</t>
  </si>
  <si>
    <t>&lt;chassis&gt;</t>
  </si>
  <si>
    <t>&lt;chassisnumber&gt;1&lt;/chassisnumber&gt;</t>
  </si>
  <si>
    <t>&lt;/chassis&gt;</t>
  </si>
  <si>
    <t>&lt;chassisnumber&gt;2&lt;/chassisnumber&gt;</t>
  </si>
  <si>
    <t>&lt;chassisnumber&gt;3&lt;/chassisnumber&gt;</t>
  </si>
  <si>
    <t>&lt;chassisnumber&gt;4&lt;/chassisnumber&gt;</t>
  </si>
  <si>
    <t>&lt;chassisnumber&gt;5&lt;/chassisnumber&gt;</t>
  </si>
  <si>
    <t>&lt;chassisnumber&gt;6&lt;/chassisnumber&gt;</t>
  </si>
  <si>
    <t>&lt;chassisnumber&gt;7&lt;/chassisnumber&gt;</t>
  </si>
  <si>
    <t>&lt;chassisnumber&gt;8&lt;/chassisnumber&gt;</t>
  </si>
  <si>
    <t>&lt;chassisnumber&gt;9&lt;/chassisnumber&gt;</t>
  </si>
  <si>
    <t>&lt;chassisnumber&gt;10&lt;/chassisnumber&gt;</t>
  </si>
  <si>
    <t>Store Regeneration Unit</t>
  </si>
  <si>
    <t>Final Tank Decoder</t>
  </si>
  <si>
    <t>Tank Decoder Distributor</t>
  </si>
  <si>
    <t>Tank Decoder Logic</t>
  </si>
  <si>
    <t>2</t>
  </si>
  <si>
    <t>CCU Panel X</t>
  </si>
  <si>
    <t>CCU Panel X and VI</t>
  </si>
  <si>
    <t>Partial Product Adder</t>
  </si>
  <si>
    <t>Complementer Unit</t>
  </si>
  <si>
    <t>Collater Unit</t>
  </si>
  <si>
    <t>Distributing Unit 3</t>
  </si>
  <si>
    <t>Half Adder 2</t>
  </si>
  <si>
    <t>Half Adder 1</t>
  </si>
  <si>
    <t>Accumulator Tank 2 Regen</t>
  </si>
  <si>
    <t>Accumulator Tank 1 Regen</t>
  </si>
  <si>
    <t>ASU 1</t>
  </si>
  <si>
    <t>ASU 2</t>
  </si>
  <si>
    <t>Multiplier Logic</t>
  </si>
  <si>
    <t>Multiplier Tank Regen</t>
  </si>
  <si>
    <t>Multiplicand Shifting Unit</t>
  </si>
  <si>
    <t>Multiplicand Tank Regen</t>
  </si>
  <si>
    <t>Digit Pulse Distributor Unit</t>
  </si>
  <si>
    <t>CCU Panel IV</t>
  </si>
  <si>
    <t>TCT Regen</t>
  </si>
  <si>
    <t>TCT Shifting Control</t>
  </si>
  <si>
    <t>CCU Panel II</t>
  </si>
  <si>
    <t>Accumulator Testing Unit</t>
  </si>
  <si>
    <t>CCU Panel VI</t>
  </si>
  <si>
    <t>CCU Panel III</t>
  </si>
  <si>
    <t>??</t>
  </si>
  <si>
    <t>Buffers ?</t>
  </si>
  <si>
    <t>Maintenance Panel</t>
  </si>
  <si>
    <t>CCU Panel VII</t>
  </si>
  <si>
    <t>CCU Panel I</t>
  </si>
  <si>
    <t>CCU Panel VIII</t>
  </si>
  <si>
    <t>CCU Panel V</t>
  </si>
  <si>
    <t>CCU Panel IX</t>
  </si>
  <si>
    <t>CCU Panel XI</t>
  </si>
  <si>
    <t>Counter Tank Regen</t>
  </si>
  <si>
    <t>Sequence Control Tank Regen</t>
  </si>
  <si>
    <t>Order Tank Regen</t>
  </si>
  <si>
    <t>Coincidence Unit 3</t>
  </si>
  <si>
    <t>Counter Half Adder</t>
  </si>
  <si>
    <t>SCT Half Adder</t>
  </si>
  <si>
    <t>Order Tank Control</t>
  </si>
  <si>
    <t>Counter + SCT Control</t>
  </si>
  <si>
    <t>Coincidence Unit 1</t>
  </si>
  <si>
    <t>Coincidence Unit 2</t>
  </si>
  <si>
    <t>Main Control Unit 1 M-1</t>
  </si>
  <si>
    <t>Main Control Unit 3 M-3</t>
  </si>
  <si>
    <t>Main Control Unit 2 M-2</t>
  </si>
  <si>
    <t>Power Supply Unit</t>
  </si>
  <si>
    <t>Transfer Tank Regen</t>
  </si>
  <si>
    <t>Transfer Unit 1</t>
  </si>
  <si>
    <t>Transfer Unit 2</t>
  </si>
  <si>
    <t>Order Coder Unit Type 1 E-1</t>
  </si>
  <si>
    <t>Order Coder Unit Type 2 E-2</t>
  </si>
  <si>
    <t>Order Distributer Unit D-1</t>
  </si>
  <si>
    <t>Order Secondary Decoder Type 1 C-1</t>
  </si>
  <si>
    <t>Order Secondary Decoder Type 2 C-2</t>
  </si>
  <si>
    <t>Order Distributer Unit D-2</t>
  </si>
  <si>
    <t>Order Secondary Decoder Type 1 C-3</t>
  </si>
  <si>
    <t>Order Secondary Decoder Type 1 C-4</t>
  </si>
  <si>
    <t>Rack Decoder</t>
  </si>
  <si>
    <t>Rack Distribution Logic</t>
  </si>
  <si>
    <t>Tank Flashing Unit Controls</t>
  </si>
  <si>
    <t>Tank Flashing Unit</t>
  </si>
  <si>
    <t>Operator's Control Unit</t>
  </si>
  <si>
    <t>Order Primary Decoder B-1</t>
  </si>
  <si>
    <t>Order Flashing Unit Type 1 A-1</t>
  </si>
  <si>
    <t>Order Flashing Unit Type 2 A-2</t>
  </si>
  <si>
    <t>Order Flashing Unit Type 2 A-3</t>
  </si>
  <si>
    <t>Clock Monitor</t>
  </si>
  <si>
    <t>Clock Pulse Generator</t>
  </si>
  <si>
    <t>Clock Pulse Distributor (DU1)</t>
  </si>
  <si>
    <t>Digit Pulse Distributor (DU2)</t>
  </si>
  <si>
    <t>Digit Pulse Generator Type 2</t>
  </si>
  <si>
    <t>Digit Pulse Generator Type 1</t>
  </si>
  <si>
    <t>Negative PSU</t>
  </si>
  <si>
    <t>Initial Orders Uniselectors</t>
  </si>
  <si>
    <t>Initial Input Unit 1</t>
  </si>
  <si>
    <t>Initial Input Unit 2</t>
  </si>
  <si>
    <t>Manual Order Unit</t>
  </si>
  <si>
    <t>Paper Tape Unit 1</t>
  </si>
  <si>
    <t>Paper Tape Unit 2</t>
  </si>
  <si>
    <t>Printer Unit 1</t>
  </si>
  <si>
    <t>Printer Unit 2</t>
  </si>
  <si>
    <t>Printer Unit 3</t>
  </si>
  <si>
    <t>&lt;chassistype&gt;1&lt;/chassistype&gt;</t>
  </si>
  <si>
    <t>&lt;chassistype&gt;2&lt;/chassistype&gt;</t>
  </si>
  <si>
    <t>&lt;chassisnumber&gt;11&lt;/chassisnumber&gt;</t>
  </si>
  <si>
    <t>&lt;chassisnumber&gt;12&lt;/chassisnumber&gt;</t>
  </si>
  <si>
    <t>&lt;chassisnumber&gt;13&lt;/chassisnumber&gt;</t>
  </si>
  <si>
    <t>&lt;chassisnumber&gt;14&lt;/chassisnumber&gt;</t>
  </si>
  <si>
    <t>&lt;/rack&gt;</t>
  </si>
  <si>
    <t>&lt;racknumber&gt;2&lt;/racknumber&gt;</t>
  </si>
  <si>
    <t>&lt;chassisworldlabeltext&gt;&lt;/chassisworldlabeltext&gt;</t>
  </si>
  <si>
    <t>&lt;chassisworldlabelnumber&gt;&lt;/chassisworldlabelnumber&gt;</t>
  </si>
  <si>
    <t>&lt;chassisuilabel&gt;Store Regeneration Unit&lt;/chassisuilabel&gt;</t>
  </si>
  <si>
    <t>&lt;chassisuilabel&gt;Final Tank Decoder&lt;/chassisuilabel&gt;</t>
  </si>
  <si>
    <t>&lt;chassistype&gt;4&lt;/chassistype&gt;</t>
  </si>
  <si>
    <t>&lt;chassisuilabel&gt;Tank Decoder Distributor&lt;/chassisuilabel&gt;</t>
  </si>
  <si>
    <t>&lt;chassistype&gt;6&lt;/chassistype&gt;</t>
  </si>
  <si>
    <t>&lt;chassisuilabel&gt;Tank Decoder Logic&lt;/chassisuilabel&gt;</t>
  </si>
  <si>
    <t>&lt;chassistype&gt;5&lt;/chassistype&gt;</t>
  </si>
  <si>
    <t>&lt;racknumber&gt;3&lt;/racknumber&gt;</t>
  </si>
  <si>
    <t>&lt;chassisuilabel&gt;CCU Panel X&lt;/chassisuilabel&gt;</t>
  </si>
  <si>
    <t>&lt;chassistype&gt;33&lt;/chassistype&gt;</t>
  </si>
  <si>
    <t>&lt;chassisuilabel&gt;CCU Panel X and VI&lt;/chassisuilabel&gt;</t>
  </si>
  <si>
    <t>&lt;chassistype&gt;32&lt;/chassistype&gt;</t>
  </si>
  <si>
    <t>&lt;chassisuilabel&gt;Partial Product Adder&lt;/chassisuilabel&gt;</t>
  </si>
  <si>
    <t>&lt;chassistype&gt;26&lt;/chassistype&gt;</t>
  </si>
  <si>
    <t>&lt;chassisuilabel&gt;Complementer Unit&lt;/chassisuilabel&gt;</t>
  </si>
  <si>
    <t>&lt;chassistype&gt;27&lt;/chassistype&gt;</t>
  </si>
  <si>
    <t>&lt;chassisuilabel&gt;Collater Unit&lt;/chassisuilabel&gt;</t>
  </si>
  <si>
    <t>&lt;chassistype&gt;28&lt;/chassistype&gt;</t>
  </si>
  <si>
    <t>&lt;chassisuilabel&gt;Distributing Unit 3&lt;/chassisuilabel&gt;</t>
  </si>
  <si>
    <t>&lt;chassistype&gt;29&lt;/chassistype&gt;</t>
  </si>
  <si>
    <t>&lt;chassisuilabel&gt;Half Adder 2&lt;/chassisuilabel&gt;</t>
  </si>
  <si>
    <t>&lt;chassistype&gt;7&lt;/chassistype&gt;</t>
  </si>
  <si>
    <t>&lt;chassisuilabel&gt;Half Adder 1&lt;/chassisuilabel&gt;</t>
  </si>
  <si>
    <t>&lt;chassisuilabel&gt;Accumulator Tank 2 Regen&lt;/chassisuilabel&gt;</t>
  </si>
  <si>
    <t>&lt;chassisuilabel&gt;Accumulator Tank 1 Regen&lt;/chassisuilabel&gt;</t>
  </si>
  <si>
    <t>&lt;chassisuilabel&gt;ASU 1&lt;/chassisuilabel&gt;</t>
  </si>
  <si>
    <t>&lt;chassistype&gt;16&lt;/chassistype&gt;</t>
  </si>
  <si>
    <t>&lt;chassisuilabel&gt;ASU 2&lt;/chassisuilabel&gt;</t>
  </si>
  <si>
    <t>&lt;chassistype&gt;17&lt;/chassistype&gt;</t>
  </si>
  <si>
    <t>&lt;racknumber&gt;4&lt;/racknumber&gt;</t>
  </si>
  <si>
    <t>&lt;chassisuilabel&gt;Multiplier Logic&lt;/chassisuilabel&gt;</t>
  </si>
  <si>
    <t>&lt;chassistype&gt;37&lt;/chassistype&gt;</t>
  </si>
  <si>
    <t>&lt;chassisuilabel&gt;Multiplier Tank Regen&lt;/chassisuilabel&gt;</t>
  </si>
  <si>
    <t>&lt;chassisuilabel&gt;Multiplicand Shifting Unit&lt;/chassisuilabel&gt;</t>
  </si>
  <si>
    <t>&lt;chassistype&gt;36&lt;/chassistype&gt;</t>
  </si>
  <si>
    <t>&lt;chassisuilabel&gt;Multiplicand Tank Regen&lt;/chassisuilabel&gt;</t>
  </si>
  <si>
    <t>&lt;chassisuilabel&gt;Digit Pulse Distributor Unit&lt;/chassisuilabel&gt;</t>
  </si>
  <si>
    <t>&lt;chassistype&gt;47&lt;/chassistype&gt;</t>
  </si>
  <si>
    <t>&lt;chassisuilabel&gt;CCU Panel IV&lt;/chassisuilabel&gt;</t>
  </si>
  <si>
    <t>&lt;chassistype&gt;34&lt;/chassistype&gt;</t>
  </si>
  <si>
    <t>&lt;chassisuilabel&gt;TCT Regen&lt;/chassisuilabel&gt;</t>
  </si>
  <si>
    <t>&lt;chassisuilabel&gt;TCT Shifting Control&lt;/chassisuilabel&gt;</t>
  </si>
  <si>
    <t>&lt;chassistype&gt;35&lt;/chassistype&gt;</t>
  </si>
  <si>
    <t>&lt;chassisuilabel&gt;CCU Panel II&lt;/chassisuilabel&gt;</t>
  </si>
  <si>
    <t>&lt;chassistype&gt;52&lt;/chassistype&gt;</t>
  </si>
  <si>
    <t>&lt;chassisuilabel&gt;Accumulator Testing Unit&lt;/chassisuilabel&gt;</t>
  </si>
  <si>
    <t>&lt;chassistype&gt;49&lt;/chassistype&gt;</t>
  </si>
  <si>
    <t>&lt;chassisuilabel&gt;CCU Panel VI&lt;/chassisuilabel&gt;</t>
  </si>
  <si>
    <t>&lt;chassistype&gt;??&lt;/chassistype&gt;</t>
  </si>
  <si>
    <t>&lt;chassisuilabel&gt;CCU Panel III&lt;/chassisuilabel&gt;</t>
  </si>
  <si>
    <t>&lt;chassistype&gt;53&lt;/chassistype&gt;</t>
  </si>
  <si>
    <t>&lt;racknumber&gt;5&lt;/racknumber&gt;</t>
  </si>
  <si>
    <t>&lt;chassisuilabel&gt;Buffers ?&lt;/chassisuilabel&gt;</t>
  </si>
  <si>
    <t>&lt;chassistype&gt;50&lt;/chassistype&gt;</t>
  </si>
  <si>
    <t>&lt;chassisuilabel&gt;Maintenance Panel&lt;/chassisuilabel&gt;</t>
  </si>
  <si>
    <t>&lt;chassisuilabel&gt;CCU Panel VII&lt;/chassisuilabel&gt;</t>
  </si>
  <si>
    <t>&lt;chassistype&gt;57&lt;/chassistype&gt;</t>
  </si>
  <si>
    <t>&lt;chassisuilabel&gt;CCU Panel I&lt;/chassisuilabel&gt;</t>
  </si>
  <si>
    <t>&lt;chassistype&gt;51&lt;/chassistype&gt;</t>
  </si>
  <si>
    <t>&lt;chassisuilabel&gt;CCU Panel VIII&lt;/chassisuilabel&gt;</t>
  </si>
  <si>
    <t>&lt;chassistype&gt;58&lt;/chassistype&gt;</t>
  </si>
  <si>
    <t>&lt;chassisuilabel&gt;CCU Panel V&lt;/chassisuilabel&gt;</t>
  </si>
  <si>
    <t>&lt;chassistype&gt;55&lt;/chassistype&gt;</t>
  </si>
  <si>
    <t>&lt;chassisuilabel&gt;CCU Panel IX&lt;/chassisuilabel&gt;</t>
  </si>
  <si>
    <t>&lt;chassistype&gt;59&lt;/chassistype&gt;</t>
  </si>
  <si>
    <t>&lt;chassisuilabel&gt;CCU Panel XI&lt;/chassisuilabel&gt;</t>
  </si>
  <si>
    <t>&lt;chassistype&gt;61&lt;/chassistype&gt;</t>
  </si>
  <si>
    <t>&lt;/row&gt;</t>
  </si>
  <si>
    <t>&lt;rowname&gt;Middle&lt;/rowname&gt;</t>
  </si>
  <si>
    <t>&lt;chassisuilabel&gt;Counter Tank Regen&lt;/chassisuilabel&gt;</t>
  </si>
  <si>
    <t>&lt;chassisuilabel&gt;Sequence Control Tank Regen&lt;/chassisuilabel&gt;</t>
  </si>
  <si>
    <t>&lt;chassisuilabel&gt;Order Tank Regen&lt;/chassisuilabel&gt;</t>
  </si>
  <si>
    <t>&lt;chassisuilabel&gt;Coincidence Unit 3&lt;/chassisuilabel&gt;</t>
  </si>
  <si>
    <t>&lt;chassistype&gt;13&lt;/chassistype&gt;</t>
  </si>
  <si>
    <t>&lt;chassisuilabel&gt;Counter Half Adder&lt;/chassisuilabel&gt;</t>
  </si>
  <si>
    <t>&lt;chassisuilabel&gt;SCT Half Adder&lt;/chassisuilabel&gt;</t>
  </si>
  <si>
    <t>&lt;chassisuilabel&gt;Order Tank Control&lt;/chassisuilabel&gt;</t>
  </si>
  <si>
    <t>&lt;chassistype&gt;46&lt;/chassistype&gt;</t>
  </si>
  <si>
    <t>&lt;chassisuilabel&gt;Counter + SCT Control&lt;/chassisuilabel&gt;</t>
  </si>
  <si>
    <t>&lt;chassistype&gt;41&lt;/chassistype&gt;</t>
  </si>
  <si>
    <t>&lt;chassisuilabel&gt;Coincidence Unit 1&lt;/chassisuilabel&gt;</t>
  </si>
  <si>
    <t>&lt;chassistype&gt;11&lt;/chassistype&gt;</t>
  </si>
  <si>
    <t>&lt;chassisuilabel&gt;Coincidence Unit 2&lt;/chassisuilabel&gt;</t>
  </si>
  <si>
    <t>&lt;chassistype&gt;12&lt;/chassistype&gt;</t>
  </si>
  <si>
    <t>&lt;chassisuilabel&gt;Main Control Unit 1 M-1&lt;/chassisuilabel&gt;</t>
  </si>
  <si>
    <t>&lt;chassistype&gt;43&lt;/chassistype&gt;</t>
  </si>
  <si>
    <t>&lt;chassisuilabel&gt;Main Control Unit 3 M-3&lt;/chassisuilabel&gt;</t>
  </si>
  <si>
    <t>&lt;chassistype&gt;45&lt;/chassistype&gt;</t>
  </si>
  <si>
    <t>&lt;chassisuilabel&gt;Main Control Unit 2 M-2&lt;/chassisuilabel&gt;</t>
  </si>
  <si>
    <t>&lt;chassistype&gt;44&lt;/chassistype&gt;</t>
  </si>
  <si>
    <t>&lt;chassisuilabel&gt;Power Supply Unit&lt;/chassisuilabel&gt;</t>
  </si>
  <si>
    <t>&lt;chassistype&gt;38&lt;/chassistype&gt;</t>
  </si>
  <si>
    <t>&lt;chassisuilabel&gt;Transfer Tank Regen&lt;/chassisuilabel&gt;</t>
  </si>
  <si>
    <t>&lt;chassisuilabel&gt;Transfer Unit 1&lt;/chassisuilabel&gt;</t>
  </si>
  <si>
    <t>&lt;chassistype&gt;42&lt;/chassistype&gt;</t>
  </si>
  <si>
    <t>&lt;chassisuilabel&gt;Transfer Unit 2&lt;/chassisuilabel&gt;</t>
  </si>
  <si>
    <t>&lt;chassistype&gt;40&lt;/chassistype&gt;</t>
  </si>
  <si>
    <t>&lt;chassisuilabel&gt;Order Coder Unit Type 1 E-1&lt;/chassisuilabel&gt;</t>
  </si>
  <si>
    <t>&lt;chassistype&gt;24&lt;/chassistype&gt;</t>
  </si>
  <si>
    <t>&lt;chassisuilabel&gt;Order Coder Unit Type 2 E-2&lt;/chassisuilabel&gt;</t>
  </si>
  <si>
    <t>&lt;chassistype&gt;25&lt;/chassistype&gt;</t>
  </si>
  <si>
    <t>&lt;chassisuilabel&gt;Order Distributer Unit D-1&lt;/chassisuilabel&gt;</t>
  </si>
  <si>
    <t>&lt;chassistype&gt;21&lt;/chassistype&gt;</t>
  </si>
  <si>
    <t>&lt;chassisuilabel&gt;Order Secondary Decoder Type 1 C-1&lt;/chassisuilabel&gt;</t>
  </si>
  <si>
    <t>&lt;chassistype&gt;22&lt;/chassistype&gt;</t>
  </si>
  <si>
    <t>&lt;chassisuilabel&gt;Order Secondary Decoder Type 2 C-2&lt;/chassisuilabel&gt;</t>
  </si>
  <si>
    <t>&lt;chassistype&gt;23&lt;/chassistype&gt;</t>
  </si>
  <si>
    <t>&lt;chassisuilabel&gt;Order Distributer Unit D-2&lt;/chassisuilabel&gt;</t>
  </si>
  <si>
    <t>&lt;chassisuilabel&gt;Order Secondary Decoder Type 1 C-3&lt;/chassisuilabel&gt;</t>
  </si>
  <si>
    <t>&lt;chassisuilabel&gt;Order Secondary Decoder Type 1 C-4&lt;/chassisuilabel&gt;</t>
  </si>
  <si>
    <t>&lt;chassisuilabel&gt;Rack Decoder&lt;/chassisuilabel&gt;</t>
  </si>
  <si>
    <t>&lt;chassistype&gt;14&lt;/chassistype&gt;</t>
  </si>
  <si>
    <t>&lt;chassisuilabel&gt;Rack Distribution Logic&lt;/chassisuilabel&gt;</t>
  </si>
  <si>
    <t>&lt;chassistype&gt;10&lt;/chassistype&gt;</t>
  </si>
  <si>
    <t>&lt;chassisuilabel&gt;Tank Flashing Unit Controls&lt;/chassisuilabel&gt;</t>
  </si>
  <si>
    <t>&lt;chassistype&gt;9&lt;/chassistype&gt;</t>
  </si>
  <si>
    <t>&lt;chassisuilabel&gt;Tank Flashing Unit&lt;/chassisuilabel&gt;</t>
  </si>
  <si>
    <t>&lt;chassistype&gt;8&lt;/chassistype&gt;</t>
  </si>
  <si>
    <t>&lt;chassisuilabel&gt;Operator's Control Unit&lt;/chassisuilabel&gt;</t>
  </si>
  <si>
    <t>&lt;chassistype&gt;48&lt;/chassistype&gt;</t>
  </si>
  <si>
    <t>&lt;chassisuilabel&gt;Order Primary Decoder B-1&lt;/chassisuilabel&gt;</t>
  </si>
  <si>
    <t>&lt;chassistype&gt;20&lt;/chassistype&gt;</t>
  </si>
  <si>
    <t>&lt;chassisuilabel&gt;Order Flashing Unit Type 1 A-1&lt;/chassisuilabel&gt;</t>
  </si>
  <si>
    <t>&lt;chassistype&gt;18&lt;/chassistype&gt;</t>
  </si>
  <si>
    <t>&lt;chassisuilabel&gt;Order Flashing Unit Type 2 A-2&lt;/chassisuilabel&gt;</t>
  </si>
  <si>
    <t>&lt;chassistype&gt;19&lt;/chassistype&gt;</t>
  </si>
  <si>
    <t>&lt;chassisuilabel&gt;Order Flashing Unit Type 2 A-3&lt;/chassisuilabel&gt;</t>
  </si>
  <si>
    <t>&lt;rowname&gt;Front&lt;/rowname&gt;</t>
  </si>
  <si>
    <t>&lt;chassisuilabel&gt;Clock Monitor&lt;/chassisuilabel&gt;</t>
  </si>
  <si>
    <t>&lt;chassisuilabel&gt;Clock Pulse Generator&lt;/chassisuilabel&gt;</t>
  </si>
  <si>
    <t>&lt;chassisuilabel&gt;Clock Pulse Distributor (DU1)&lt;/chassisuilabel&gt;</t>
  </si>
  <si>
    <t>&lt;chassistype&gt;30&lt;/chassistype&gt;</t>
  </si>
  <si>
    <t>&lt;chassisuilabel&gt;Digit Pulse Distributor (DU2)&lt;/chassisuilabel&gt;</t>
  </si>
  <si>
    <t>&lt;chassistype&gt;31&lt;/chassistype&gt;</t>
  </si>
  <si>
    <t>&lt;chassisuilabel&gt;Digit Pulse Generator Type 2&lt;/chassisuilabel&gt;</t>
  </si>
  <si>
    <t>&lt;chassistype&gt;15&lt;/chassistype&gt;</t>
  </si>
  <si>
    <t>&lt;chassisuilabel&gt;Digit Pulse Generator Type 1&lt;/chassisuilabel&gt;</t>
  </si>
  <si>
    <t>&lt;chassistype&gt;3&lt;/chassistype&gt;</t>
  </si>
  <si>
    <t>&lt;chassisuilabel&gt;Negative PSU&lt;/chassisuilabel&gt;</t>
  </si>
  <si>
    <t>&lt;chassisuilabel&gt;Initial Orders Uniselectors&lt;/chassisuilabel&gt;</t>
  </si>
  <si>
    <t>&lt;chassistype&gt;39&lt;/chassistype&gt;</t>
  </si>
  <si>
    <t>&lt;chassisuilabel&gt;Initial Input Unit 1&lt;/chassisuilabel&gt;</t>
  </si>
  <si>
    <t>&lt;chassisuilabel&gt;Initial Input Unit 2&lt;/chassisuilabel&gt;</t>
  </si>
  <si>
    <t>&lt;chassisuilabel&gt;Manual Order Unit&lt;/chassisuilabel&gt;</t>
  </si>
  <si>
    <t>&lt;chassistype&gt;54&lt;/chassistype&gt;</t>
  </si>
  <si>
    <t>&lt;chassisuilabel&gt;Paper Tape Unit 1&lt;/chassisuilabel&gt;</t>
  </si>
  <si>
    <t>&lt;chassisuilabel&gt;Paper Tape Unit 2&lt;/chassisuilabel&gt;</t>
  </si>
  <si>
    <t>&lt;chassisuilabel&gt;Printer Unit 1&lt;/chassisuilabel&gt;</t>
  </si>
  <si>
    <t>&lt;chassisuilabel&gt;Printer Unit 2&lt;/chassisuilabel&gt;</t>
  </si>
  <si>
    <t>&lt;chassisuilabel&gt;Printer Unit 3&lt;/chassisuilabel&gt;</t>
  </si>
  <si>
    <t>&lt;/EDSAC&gt;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</si>
</sst>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49" fontId="0" fillId="0" borderId="0" xfId="0" quotePrefix="1" applyNumberFormat="1"/>
    <xf numFmtId="0" fontId="0" fillId="0" borderId="0" xfId="0" applyNumberFormat="1"/>
    <xf numFmtId="0" fontId="1" fillId="0" borderId="0" xfId="0" applyFont="1" applyAlignment="1">
      <alignment horizontal="right"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628650</xdr:colOff>
      <xdr:row>1</xdr:row>
      <xdr:rowOff>485775</xdr:rowOff>
    </xdr:from>
    <xdr:to>
      <xdr:col>0</xdr:col>
      <xdr:colOff>2028825</xdr:colOff>
      <xdr:row>1</xdr:row>
      <xdr:rowOff>723900</xdr:rowOff>
    </xdr:to>
    <xdr:sp macro="[0]!PlaceFinalInClipboard" textlink="">
      <xdr:nvSpPr>
        <xdr:cNvPr id="2" name="Rectangle 1"/>
        <xdr:cNvSpPr/>
      </xdr:nvSpPr>
      <xdr:spPr>
        <a:xfrm>
          <a:off x="628650" y="676275"/>
          <a:ext cx="1400175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Place in clipboard</a:t>
          </a:r>
        </a:p>
      </xdr:txBody>
    </xdr:sp>
    <xdr:clientData/>
  </xdr:twoCellAnchor>
  <xdr:twoCellAnchor>
    <xdr:from>
      <xdr:col>0</xdr:col>
      <xdr:colOff>866775</xdr:colOff>
      <xdr:row>1</xdr:row>
      <xdr:rowOff>142875</xdr:rowOff>
    </xdr:from>
    <xdr:to>
      <xdr:col>0</xdr:col>
      <xdr:colOff>2028825</xdr:colOff>
      <xdr:row>1</xdr:row>
      <xdr:rowOff>381000</xdr:rowOff>
    </xdr:to>
    <xdr:sp macro="[0]!Recalculate" textlink="">
      <xdr:nvSpPr>
        <xdr:cNvPr id="5" name="Rectangle 4"/>
        <xdr:cNvSpPr/>
      </xdr:nvSpPr>
      <xdr:spPr>
        <a:xfrm>
          <a:off x="866775" y="333375"/>
          <a:ext cx="1162050" cy="238125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Recalculate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ValvesFormulae" textlink="">
      <xdr:nvSpPr>
        <xdr:cNvPr id="3" name="Rectangle 2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ValvesFormulae" textlink="">
      <xdr:nvSpPr>
        <xdr:cNvPr id="11" name="Rectangle 10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RowsFormulae" textlink="">
      <xdr:nvSpPr>
        <xdr:cNvPr id="2" name="Rectangle 1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RacksFormulae" textlink="">
      <xdr:nvSpPr>
        <xdr:cNvPr id="2" name="Rectangle 1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419100</xdr:colOff>
      <xdr:row>2</xdr:row>
      <xdr:rowOff>47626</xdr:rowOff>
    </xdr:to>
    <xdr:sp macro="[0]!fillChassisFormulae" textlink="">
      <xdr:nvSpPr>
        <xdr:cNvPr id="3" name="Rectangle 2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152"/>
  <sheetViews>
    <sheetView tabSelected="1" workbookViewId="0">
      <selection activeCell="B4" sqref="B4:E1152"/>
    </sheetView>
  </sheetViews>
  <sheetFormatPr defaultRowHeight="15" x14ac:dyDescent="0.25"/>
  <cols>
    <col min="1" max="1" width="31.42578125" customWidth="1"/>
    <col min="2" max="2" width="24.28515625" customWidth="1"/>
  </cols>
  <sheetData>
    <row r="2" spans="1:4" ht="142.5" customHeight="1" x14ac:dyDescent="0.25">
      <c r="A2" s="4" t="s">
        <v>29</v>
      </c>
      <c r="B2" t="e">
        <f ca="1">EDSAC()</f>
        <v>#VALUE!</v>
      </c>
      <c r="C2" s="5" t="str">
        <f ca="1">IFERROR(LEN(B2),"The string is longer than can be displayed. Clipboard will still work.")</f>
        <v>The string is longer than can be displayed. Clipboard will still work.</v>
      </c>
      <c r="D2" s="5"/>
    </row>
    <row r="4" spans="1:4" x14ac:dyDescent="0.25">
      <c r="B4" t="s">
        <v>30</v>
      </c>
    </row>
    <row r="5" spans="1:4" x14ac:dyDescent="0.25">
      <c r="B5" t="s">
        <v>31</v>
      </c>
    </row>
    <row r="6" spans="1:4" x14ac:dyDescent="0.25">
      <c r="B6" t="s">
        <v>10</v>
      </c>
    </row>
    <row r="7" spans="1:4" x14ac:dyDescent="0.25">
      <c r="C7" t="s">
        <v>171</v>
      </c>
    </row>
    <row r="8" spans="1:4" x14ac:dyDescent="0.25">
      <c r="C8" t="s">
        <v>32</v>
      </c>
    </row>
    <row r="9" spans="1:4" x14ac:dyDescent="0.25">
      <c r="C9" t="s">
        <v>9</v>
      </c>
    </row>
    <row r="10" spans="1:4" x14ac:dyDescent="0.25">
      <c r="D10" t="s">
        <v>37</v>
      </c>
    </row>
    <row r="11" spans="1:4" x14ac:dyDescent="0.25">
      <c r="D11" t="s">
        <v>34</v>
      </c>
    </row>
    <row r="12" spans="1:4" x14ac:dyDescent="0.25">
      <c r="D12" t="s">
        <v>35</v>
      </c>
    </row>
    <row r="13" spans="1:4" x14ac:dyDescent="0.25">
      <c r="C13" t="s">
        <v>36</v>
      </c>
    </row>
    <row r="14" spans="1:4" x14ac:dyDescent="0.25">
      <c r="C14" t="s">
        <v>9</v>
      </c>
    </row>
    <row r="15" spans="1:4" x14ac:dyDescent="0.25">
      <c r="D15" t="s">
        <v>37</v>
      </c>
    </row>
    <row r="16" spans="1:4" x14ac:dyDescent="0.25">
      <c r="D16" t="s">
        <v>38</v>
      </c>
    </row>
    <row r="17" spans="3:4" x14ac:dyDescent="0.25">
      <c r="D17" t="s">
        <v>39</v>
      </c>
    </row>
    <row r="18" spans="3:4" x14ac:dyDescent="0.25">
      <c r="C18" t="s">
        <v>36</v>
      </c>
    </row>
    <row r="19" spans="3:4" x14ac:dyDescent="0.25">
      <c r="C19" t="s">
        <v>9</v>
      </c>
    </row>
    <row r="20" spans="3:4" x14ac:dyDescent="0.25">
      <c r="D20" t="s">
        <v>33</v>
      </c>
    </row>
    <row r="21" spans="3:4" x14ac:dyDescent="0.25">
      <c r="D21" t="s">
        <v>40</v>
      </c>
    </row>
    <row r="22" spans="3:4" x14ac:dyDescent="0.25">
      <c r="D22" t="s">
        <v>35</v>
      </c>
    </row>
    <row r="23" spans="3:4" x14ac:dyDescent="0.25">
      <c r="C23" t="s">
        <v>36</v>
      </c>
    </row>
    <row r="24" spans="3:4" x14ac:dyDescent="0.25">
      <c r="C24" t="s">
        <v>9</v>
      </c>
    </row>
    <row r="25" spans="3:4" x14ac:dyDescent="0.25">
      <c r="D25" t="s">
        <v>33</v>
      </c>
    </row>
    <row r="26" spans="3:4" x14ac:dyDescent="0.25">
      <c r="D26" t="s">
        <v>41</v>
      </c>
    </row>
    <row r="27" spans="3:4" x14ac:dyDescent="0.25">
      <c r="D27" t="s">
        <v>35</v>
      </c>
    </row>
    <row r="28" spans="3:4" x14ac:dyDescent="0.25">
      <c r="C28" t="s">
        <v>36</v>
      </c>
    </row>
    <row r="29" spans="3:4" x14ac:dyDescent="0.25">
      <c r="C29" t="s">
        <v>9</v>
      </c>
    </row>
    <row r="30" spans="3:4" x14ac:dyDescent="0.25">
      <c r="D30" t="s">
        <v>37</v>
      </c>
    </row>
    <row r="31" spans="3:4" x14ac:dyDescent="0.25">
      <c r="D31" t="s">
        <v>42</v>
      </c>
    </row>
    <row r="32" spans="3:4" x14ac:dyDescent="0.25">
      <c r="D32" t="s">
        <v>35</v>
      </c>
    </row>
    <row r="33" spans="3:4" x14ac:dyDescent="0.25">
      <c r="C33" t="s">
        <v>36</v>
      </c>
    </row>
    <row r="34" spans="3:4" x14ac:dyDescent="0.25">
      <c r="C34" t="s">
        <v>9</v>
      </c>
    </row>
    <row r="35" spans="3:4" x14ac:dyDescent="0.25">
      <c r="D35" t="s">
        <v>37</v>
      </c>
    </row>
    <row r="36" spans="3:4" x14ac:dyDescent="0.25">
      <c r="D36" t="s">
        <v>43</v>
      </c>
    </row>
    <row r="37" spans="3:4" x14ac:dyDescent="0.25">
      <c r="D37" t="s">
        <v>35</v>
      </c>
    </row>
    <row r="38" spans="3:4" x14ac:dyDescent="0.25">
      <c r="C38" t="s">
        <v>36</v>
      </c>
    </row>
    <row r="39" spans="3:4" x14ac:dyDescent="0.25">
      <c r="C39" t="s">
        <v>9</v>
      </c>
    </row>
    <row r="40" spans="3:4" x14ac:dyDescent="0.25">
      <c r="D40" t="s">
        <v>37</v>
      </c>
    </row>
    <row r="41" spans="3:4" x14ac:dyDescent="0.25">
      <c r="D41" t="s">
        <v>44</v>
      </c>
    </row>
    <row r="42" spans="3:4" x14ac:dyDescent="0.25">
      <c r="D42" t="s">
        <v>35</v>
      </c>
    </row>
    <row r="43" spans="3:4" x14ac:dyDescent="0.25">
      <c r="C43" t="s">
        <v>36</v>
      </c>
    </row>
    <row r="44" spans="3:4" x14ac:dyDescent="0.25">
      <c r="C44" t="s">
        <v>9</v>
      </c>
    </row>
    <row r="45" spans="3:4" x14ac:dyDescent="0.25">
      <c r="D45" t="s">
        <v>33</v>
      </c>
    </row>
    <row r="46" spans="3:4" x14ac:dyDescent="0.25">
      <c r="D46" t="s">
        <v>45</v>
      </c>
    </row>
    <row r="47" spans="3:4" x14ac:dyDescent="0.25">
      <c r="D47" t="s">
        <v>35</v>
      </c>
    </row>
    <row r="48" spans="3:4" x14ac:dyDescent="0.25">
      <c r="C48" t="s">
        <v>36</v>
      </c>
    </row>
    <row r="49" spans="3:4" x14ac:dyDescent="0.25">
      <c r="C49" t="s">
        <v>9</v>
      </c>
    </row>
    <row r="50" spans="3:4" x14ac:dyDescent="0.25">
      <c r="D50" t="s">
        <v>37</v>
      </c>
    </row>
    <row r="51" spans="3:4" x14ac:dyDescent="0.25">
      <c r="D51" t="s">
        <v>46</v>
      </c>
    </row>
    <row r="52" spans="3:4" x14ac:dyDescent="0.25">
      <c r="D52" t="s">
        <v>35</v>
      </c>
    </row>
    <row r="53" spans="3:4" x14ac:dyDescent="0.25">
      <c r="C53" t="s">
        <v>36</v>
      </c>
    </row>
    <row r="54" spans="3:4" x14ac:dyDescent="0.25">
      <c r="C54" t="s">
        <v>9</v>
      </c>
    </row>
    <row r="55" spans="3:4" x14ac:dyDescent="0.25">
      <c r="D55" t="s">
        <v>37</v>
      </c>
    </row>
    <row r="56" spans="3:4" x14ac:dyDescent="0.25">
      <c r="D56" t="s">
        <v>47</v>
      </c>
    </row>
    <row r="57" spans="3:4" x14ac:dyDescent="0.25">
      <c r="D57" t="s">
        <v>35</v>
      </c>
    </row>
    <row r="58" spans="3:4" x14ac:dyDescent="0.25">
      <c r="C58" t="s">
        <v>36</v>
      </c>
    </row>
    <row r="59" spans="3:4" x14ac:dyDescent="0.25">
      <c r="C59" t="s">
        <v>9</v>
      </c>
    </row>
    <row r="60" spans="3:4" x14ac:dyDescent="0.25">
      <c r="D60" t="s">
        <v>33</v>
      </c>
    </row>
    <row r="61" spans="3:4" x14ac:dyDescent="0.25">
      <c r="D61" t="s">
        <v>48</v>
      </c>
    </row>
    <row r="62" spans="3:4" x14ac:dyDescent="0.25">
      <c r="D62" t="s">
        <v>35</v>
      </c>
    </row>
    <row r="63" spans="3:4" x14ac:dyDescent="0.25">
      <c r="C63" t="s">
        <v>36</v>
      </c>
    </row>
    <row r="64" spans="3:4" x14ac:dyDescent="0.25">
      <c r="C64" t="s">
        <v>9</v>
      </c>
    </row>
    <row r="65" spans="3:4" x14ac:dyDescent="0.25">
      <c r="D65" t="s">
        <v>37</v>
      </c>
    </row>
    <row r="66" spans="3:4" x14ac:dyDescent="0.25">
      <c r="D66" t="s">
        <v>49</v>
      </c>
    </row>
    <row r="67" spans="3:4" x14ac:dyDescent="0.25">
      <c r="D67" t="s">
        <v>35</v>
      </c>
    </row>
    <row r="68" spans="3:4" x14ac:dyDescent="0.25">
      <c r="C68" t="s">
        <v>36</v>
      </c>
    </row>
    <row r="69" spans="3:4" x14ac:dyDescent="0.25">
      <c r="C69" t="s">
        <v>9</v>
      </c>
    </row>
    <row r="70" spans="3:4" x14ac:dyDescent="0.25">
      <c r="D70" t="s">
        <v>33</v>
      </c>
    </row>
    <row r="71" spans="3:4" x14ac:dyDescent="0.25">
      <c r="D71" t="s">
        <v>50</v>
      </c>
    </row>
    <row r="72" spans="3:4" x14ac:dyDescent="0.25">
      <c r="D72" t="s">
        <v>39</v>
      </c>
    </row>
    <row r="73" spans="3:4" x14ac:dyDescent="0.25">
      <c r="C73" t="s">
        <v>36</v>
      </c>
    </row>
    <row r="74" spans="3:4" x14ac:dyDescent="0.25">
      <c r="C74" t="s">
        <v>9</v>
      </c>
    </row>
    <row r="75" spans="3:4" x14ac:dyDescent="0.25">
      <c r="D75" t="s">
        <v>37</v>
      </c>
    </row>
    <row r="76" spans="3:4" x14ac:dyDescent="0.25">
      <c r="D76" t="s">
        <v>51</v>
      </c>
    </row>
    <row r="77" spans="3:4" x14ac:dyDescent="0.25">
      <c r="D77" t="s">
        <v>35</v>
      </c>
    </row>
    <row r="78" spans="3:4" x14ac:dyDescent="0.25">
      <c r="C78" t="s">
        <v>36</v>
      </c>
    </row>
    <row r="79" spans="3:4" x14ac:dyDescent="0.25">
      <c r="C79" t="s">
        <v>9</v>
      </c>
    </row>
    <row r="80" spans="3:4" x14ac:dyDescent="0.25">
      <c r="D80" t="s">
        <v>52</v>
      </c>
    </row>
    <row r="81" spans="3:4" x14ac:dyDescent="0.25">
      <c r="D81" t="s">
        <v>53</v>
      </c>
    </row>
    <row r="82" spans="3:4" x14ac:dyDescent="0.25">
      <c r="D82" t="s">
        <v>39</v>
      </c>
    </row>
    <row r="83" spans="3:4" x14ac:dyDescent="0.25">
      <c r="C83" t="s">
        <v>36</v>
      </c>
    </row>
    <row r="84" spans="3:4" x14ac:dyDescent="0.25">
      <c r="C84" t="s">
        <v>9</v>
      </c>
    </row>
    <row r="85" spans="3:4" x14ac:dyDescent="0.25">
      <c r="D85" t="s">
        <v>54</v>
      </c>
    </row>
    <row r="86" spans="3:4" x14ac:dyDescent="0.25">
      <c r="D86" t="s">
        <v>55</v>
      </c>
    </row>
    <row r="87" spans="3:4" x14ac:dyDescent="0.25">
      <c r="D87" t="s">
        <v>39</v>
      </c>
    </row>
    <row r="88" spans="3:4" x14ac:dyDescent="0.25">
      <c r="C88" t="s">
        <v>36</v>
      </c>
    </row>
    <row r="89" spans="3:4" x14ac:dyDescent="0.25">
      <c r="C89" t="s">
        <v>9</v>
      </c>
    </row>
    <row r="90" spans="3:4" x14ac:dyDescent="0.25">
      <c r="D90" t="s">
        <v>52</v>
      </c>
    </row>
    <row r="91" spans="3:4" x14ac:dyDescent="0.25">
      <c r="D91" t="s">
        <v>56</v>
      </c>
    </row>
    <row r="92" spans="3:4" x14ac:dyDescent="0.25">
      <c r="D92" t="s">
        <v>39</v>
      </c>
    </row>
    <row r="93" spans="3:4" x14ac:dyDescent="0.25">
      <c r="C93" t="s">
        <v>36</v>
      </c>
    </row>
    <row r="94" spans="3:4" x14ac:dyDescent="0.25">
      <c r="C94" t="s">
        <v>9</v>
      </c>
    </row>
    <row r="95" spans="3:4" x14ac:dyDescent="0.25">
      <c r="D95" t="s">
        <v>54</v>
      </c>
    </row>
    <row r="96" spans="3:4" x14ac:dyDescent="0.25">
      <c r="D96" t="s">
        <v>58</v>
      </c>
    </row>
    <row r="97" spans="3:4" x14ac:dyDescent="0.25">
      <c r="D97" t="s">
        <v>39</v>
      </c>
    </row>
    <row r="98" spans="3:4" x14ac:dyDescent="0.25">
      <c r="C98" t="s">
        <v>36</v>
      </c>
    </row>
    <row r="99" spans="3:4" x14ac:dyDescent="0.25">
      <c r="C99" t="s">
        <v>9</v>
      </c>
    </row>
    <row r="100" spans="3:4" x14ac:dyDescent="0.25">
      <c r="D100" t="s">
        <v>54</v>
      </c>
    </row>
    <row r="101" spans="3:4" x14ac:dyDescent="0.25">
      <c r="D101" t="s">
        <v>59</v>
      </c>
    </row>
    <row r="102" spans="3:4" x14ac:dyDescent="0.25">
      <c r="D102" t="s">
        <v>39</v>
      </c>
    </row>
    <row r="103" spans="3:4" x14ac:dyDescent="0.25">
      <c r="C103" t="s">
        <v>36</v>
      </c>
    </row>
    <row r="104" spans="3:4" x14ac:dyDescent="0.25">
      <c r="C104" t="s">
        <v>9</v>
      </c>
    </row>
    <row r="105" spans="3:4" x14ac:dyDescent="0.25">
      <c r="D105" t="s">
        <v>52</v>
      </c>
    </row>
    <row r="106" spans="3:4" x14ac:dyDescent="0.25">
      <c r="D106" t="s">
        <v>60</v>
      </c>
    </row>
    <row r="107" spans="3:4" x14ac:dyDescent="0.25">
      <c r="D107" t="s">
        <v>39</v>
      </c>
    </row>
    <row r="108" spans="3:4" x14ac:dyDescent="0.25">
      <c r="C108" t="s">
        <v>36</v>
      </c>
    </row>
    <row r="109" spans="3:4" x14ac:dyDescent="0.25">
      <c r="C109" t="s">
        <v>9</v>
      </c>
    </row>
    <row r="110" spans="3:4" x14ac:dyDescent="0.25">
      <c r="D110" t="s">
        <v>54</v>
      </c>
    </row>
    <row r="111" spans="3:4" x14ac:dyDescent="0.25">
      <c r="D111" t="s">
        <v>61</v>
      </c>
    </row>
    <row r="112" spans="3:4" x14ac:dyDescent="0.25">
      <c r="D112" t="s">
        <v>39</v>
      </c>
    </row>
    <row r="113" spans="3:4" x14ac:dyDescent="0.25">
      <c r="C113" t="s">
        <v>36</v>
      </c>
    </row>
    <row r="114" spans="3:4" x14ac:dyDescent="0.25">
      <c r="C114" t="s">
        <v>9</v>
      </c>
    </row>
    <row r="115" spans="3:4" x14ac:dyDescent="0.25">
      <c r="D115" t="s">
        <v>54</v>
      </c>
    </row>
    <row r="116" spans="3:4" x14ac:dyDescent="0.25">
      <c r="D116" t="s">
        <v>62</v>
      </c>
    </row>
    <row r="117" spans="3:4" x14ac:dyDescent="0.25">
      <c r="D117" t="s">
        <v>39</v>
      </c>
    </row>
    <row r="118" spans="3:4" x14ac:dyDescent="0.25">
      <c r="C118" t="s">
        <v>36</v>
      </c>
    </row>
    <row r="119" spans="3:4" x14ac:dyDescent="0.25">
      <c r="C119" t="s">
        <v>9</v>
      </c>
    </row>
    <row r="120" spans="3:4" x14ac:dyDescent="0.25">
      <c r="D120" t="s">
        <v>52</v>
      </c>
    </row>
    <row r="121" spans="3:4" x14ac:dyDescent="0.25">
      <c r="D121" t="s">
        <v>63</v>
      </c>
    </row>
    <row r="122" spans="3:4" x14ac:dyDescent="0.25">
      <c r="D122" t="s">
        <v>39</v>
      </c>
    </row>
    <row r="123" spans="3:4" x14ac:dyDescent="0.25">
      <c r="C123" t="s">
        <v>36</v>
      </c>
    </row>
    <row r="124" spans="3:4" x14ac:dyDescent="0.25">
      <c r="C124" t="s">
        <v>9</v>
      </c>
    </row>
    <row r="125" spans="3:4" x14ac:dyDescent="0.25">
      <c r="D125" t="s">
        <v>57</v>
      </c>
    </row>
    <row r="126" spans="3:4" x14ac:dyDescent="0.25">
      <c r="D126" t="s">
        <v>64</v>
      </c>
    </row>
    <row r="127" spans="3:4" x14ac:dyDescent="0.25">
      <c r="D127" t="s">
        <v>39</v>
      </c>
    </row>
    <row r="128" spans="3:4" x14ac:dyDescent="0.25">
      <c r="C128" t="s">
        <v>36</v>
      </c>
    </row>
    <row r="129" spans="2:5" x14ac:dyDescent="0.25">
      <c r="B129" t="s">
        <v>65</v>
      </c>
    </row>
    <row r="130" spans="2:5" x14ac:dyDescent="0.25">
      <c r="B130" t="s">
        <v>10</v>
      </c>
    </row>
    <row r="131" spans="2:5" x14ac:dyDescent="0.25">
      <c r="C131" t="s">
        <v>172</v>
      </c>
    </row>
    <row r="132" spans="2:5" x14ac:dyDescent="0.25">
      <c r="C132" t="s">
        <v>66</v>
      </c>
    </row>
    <row r="133" spans="2:5" x14ac:dyDescent="0.25">
      <c r="B133" t="s">
        <v>65</v>
      </c>
    </row>
    <row r="134" spans="2:5" x14ac:dyDescent="0.25">
      <c r="B134" t="s">
        <v>67</v>
      </c>
    </row>
    <row r="135" spans="2:5" x14ac:dyDescent="0.25">
      <c r="C135" t="s">
        <v>68</v>
      </c>
    </row>
    <row r="136" spans="2:5" x14ac:dyDescent="0.25">
      <c r="C136" t="s">
        <v>69</v>
      </c>
    </row>
    <row r="137" spans="2:5" x14ac:dyDescent="0.25">
      <c r="D137" t="s">
        <v>70</v>
      </c>
    </row>
    <row r="138" spans="2:5" x14ac:dyDescent="0.25">
      <c r="D138" t="s">
        <v>71</v>
      </c>
    </row>
    <row r="139" spans="2:5" x14ac:dyDescent="0.25">
      <c r="E139" t="s">
        <v>175</v>
      </c>
    </row>
    <row r="140" spans="2:5" x14ac:dyDescent="0.25">
      <c r="E140" t="s">
        <v>179</v>
      </c>
    </row>
    <row r="141" spans="2:5" x14ac:dyDescent="0.25">
      <c r="E141" t="s">
        <v>180</v>
      </c>
    </row>
    <row r="142" spans="2:5" x14ac:dyDescent="0.25">
      <c r="E142" t="s">
        <v>181</v>
      </c>
    </row>
    <row r="143" spans="2:5" x14ac:dyDescent="0.25">
      <c r="E143" t="s">
        <v>171</v>
      </c>
    </row>
    <row r="144" spans="2:5" x14ac:dyDescent="0.25">
      <c r="D144" t="s">
        <v>73</v>
      </c>
    </row>
    <row r="145" spans="4:5" x14ac:dyDescent="0.25">
      <c r="D145" t="s">
        <v>71</v>
      </c>
    </row>
    <row r="146" spans="4:5" x14ac:dyDescent="0.25">
      <c r="E146" t="s">
        <v>174</v>
      </c>
    </row>
    <row r="147" spans="4:5" x14ac:dyDescent="0.25">
      <c r="E147" t="s">
        <v>179</v>
      </c>
    </row>
    <row r="148" spans="4:5" x14ac:dyDescent="0.25">
      <c r="E148" t="s">
        <v>180</v>
      </c>
    </row>
    <row r="149" spans="4:5" x14ac:dyDescent="0.25">
      <c r="E149" t="s">
        <v>181</v>
      </c>
    </row>
    <row r="150" spans="4:5" x14ac:dyDescent="0.25">
      <c r="E150" t="s">
        <v>171</v>
      </c>
    </row>
    <row r="151" spans="4:5" x14ac:dyDescent="0.25">
      <c r="D151" t="s">
        <v>73</v>
      </c>
    </row>
    <row r="152" spans="4:5" x14ac:dyDescent="0.25">
      <c r="D152" t="s">
        <v>71</v>
      </c>
    </row>
    <row r="153" spans="4:5" x14ac:dyDescent="0.25">
      <c r="E153" t="s">
        <v>173</v>
      </c>
    </row>
    <row r="154" spans="4:5" x14ac:dyDescent="0.25">
      <c r="E154" t="s">
        <v>179</v>
      </c>
    </row>
    <row r="155" spans="4:5" x14ac:dyDescent="0.25">
      <c r="E155" t="s">
        <v>180</v>
      </c>
    </row>
    <row r="156" spans="4:5" x14ac:dyDescent="0.25">
      <c r="E156" t="s">
        <v>181</v>
      </c>
    </row>
    <row r="157" spans="4:5" x14ac:dyDescent="0.25">
      <c r="E157" t="s">
        <v>171</v>
      </c>
    </row>
    <row r="158" spans="4:5" x14ac:dyDescent="0.25">
      <c r="D158" t="s">
        <v>73</v>
      </c>
    </row>
    <row r="159" spans="4:5" x14ac:dyDescent="0.25">
      <c r="D159" t="s">
        <v>71</v>
      </c>
    </row>
    <row r="160" spans="4:5" x14ac:dyDescent="0.25">
      <c r="E160" t="s">
        <v>82</v>
      </c>
    </row>
    <row r="161" spans="4:5" x14ac:dyDescent="0.25">
      <c r="E161" t="s">
        <v>179</v>
      </c>
    </row>
    <row r="162" spans="4:5" x14ac:dyDescent="0.25">
      <c r="E162" t="s">
        <v>180</v>
      </c>
    </row>
    <row r="163" spans="4:5" x14ac:dyDescent="0.25">
      <c r="E163" t="s">
        <v>181</v>
      </c>
    </row>
    <row r="164" spans="4:5" x14ac:dyDescent="0.25">
      <c r="E164" t="s">
        <v>171</v>
      </c>
    </row>
    <row r="165" spans="4:5" x14ac:dyDescent="0.25">
      <c r="D165" t="s">
        <v>73</v>
      </c>
    </row>
    <row r="166" spans="4:5" x14ac:dyDescent="0.25">
      <c r="D166" t="s">
        <v>71</v>
      </c>
    </row>
    <row r="167" spans="4:5" x14ac:dyDescent="0.25">
      <c r="E167" t="s">
        <v>81</v>
      </c>
    </row>
    <row r="168" spans="4:5" x14ac:dyDescent="0.25">
      <c r="E168" t="s">
        <v>179</v>
      </c>
    </row>
    <row r="169" spans="4:5" x14ac:dyDescent="0.25">
      <c r="E169" t="s">
        <v>180</v>
      </c>
    </row>
    <row r="170" spans="4:5" x14ac:dyDescent="0.25">
      <c r="E170" t="s">
        <v>182</v>
      </c>
    </row>
    <row r="171" spans="4:5" x14ac:dyDescent="0.25">
      <c r="E171" t="s">
        <v>183</v>
      </c>
    </row>
    <row r="172" spans="4:5" x14ac:dyDescent="0.25">
      <c r="D172" t="s">
        <v>73</v>
      </c>
    </row>
    <row r="173" spans="4:5" x14ac:dyDescent="0.25">
      <c r="D173" t="s">
        <v>71</v>
      </c>
    </row>
    <row r="174" spans="4:5" x14ac:dyDescent="0.25">
      <c r="E174" t="s">
        <v>80</v>
      </c>
    </row>
    <row r="175" spans="4:5" x14ac:dyDescent="0.25">
      <c r="E175" t="s">
        <v>179</v>
      </c>
    </row>
    <row r="176" spans="4:5" x14ac:dyDescent="0.25">
      <c r="E176" t="s">
        <v>180</v>
      </c>
    </row>
    <row r="177" spans="4:5" x14ac:dyDescent="0.25">
      <c r="E177" t="s">
        <v>184</v>
      </c>
    </row>
    <row r="178" spans="4:5" x14ac:dyDescent="0.25">
      <c r="E178" t="s">
        <v>185</v>
      </c>
    </row>
    <row r="179" spans="4:5" x14ac:dyDescent="0.25">
      <c r="D179" t="s">
        <v>73</v>
      </c>
    </row>
    <row r="180" spans="4:5" x14ac:dyDescent="0.25">
      <c r="D180" t="s">
        <v>71</v>
      </c>
    </row>
    <row r="181" spans="4:5" x14ac:dyDescent="0.25">
      <c r="E181" t="s">
        <v>79</v>
      </c>
    </row>
    <row r="182" spans="4:5" x14ac:dyDescent="0.25">
      <c r="E182" t="s">
        <v>179</v>
      </c>
    </row>
    <row r="183" spans="4:5" x14ac:dyDescent="0.25">
      <c r="E183" t="s">
        <v>180</v>
      </c>
    </row>
    <row r="184" spans="4:5" x14ac:dyDescent="0.25">
      <c r="E184" t="s">
        <v>186</v>
      </c>
    </row>
    <row r="185" spans="4:5" x14ac:dyDescent="0.25">
      <c r="E185" t="s">
        <v>187</v>
      </c>
    </row>
    <row r="186" spans="4:5" x14ac:dyDescent="0.25">
      <c r="D186" t="s">
        <v>73</v>
      </c>
    </row>
    <row r="187" spans="4:5" x14ac:dyDescent="0.25">
      <c r="D187" t="s">
        <v>71</v>
      </c>
    </row>
    <row r="188" spans="4:5" x14ac:dyDescent="0.25">
      <c r="E188" t="s">
        <v>78</v>
      </c>
    </row>
    <row r="189" spans="4:5" x14ac:dyDescent="0.25">
      <c r="E189" t="s">
        <v>179</v>
      </c>
    </row>
    <row r="190" spans="4:5" x14ac:dyDescent="0.25">
      <c r="E190" t="s">
        <v>180</v>
      </c>
    </row>
    <row r="191" spans="4:5" x14ac:dyDescent="0.25">
      <c r="E191" t="s">
        <v>182</v>
      </c>
    </row>
    <row r="192" spans="4:5" x14ac:dyDescent="0.25">
      <c r="E192" t="s">
        <v>183</v>
      </c>
    </row>
    <row r="193" spans="4:5" x14ac:dyDescent="0.25">
      <c r="D193" t="s">
        <v>73</v>
      </c>
    </row>
    <row r="194" spans="4:5" x14ac:dyDescent="0.25">
      <c r="D194" t="s">
        <v>71</v>
      </c>
    </row>
    <row r="195" spans="4:5" x14ac:dyDescent="0.25">
      <c r="E195" t="s">
        <v>77</v>
      </c>
    </row>
    <row r="196" spans="4:5" x14ac:dyDescent="0.25">
      <c r="E196" t="s">
        <v>179</v>
      </c>
    </row>
    <row r="197" spans="4:5" x14ac:dyDescent="0.25">
      <c r="E197" t="s">
        <v>180</v>
      </c>
    </row>
    <row r="198" spans="4:5" x14ac:dyDescent="0.25">
      <c r="E198" t="s">
        <v>181</v>
      </c>
    </row>
    <row r="199" spans="4:5" x14ac:dyDescent="0.25">
      <c r="E199" t="s">
        <v>171</v>
      </c>
    </row>
    <row r="200" spans="4:5" x14ac:dyDescent="0.25">
      <c r="D200" t="s">
        <v>73</v>
      </c>
    </row>
    <row r="201" spans="4:5" x14ac:dyDescent="0.25">
      <c r="D201" t="s">
        <v>71</v>
      </c>
    </row>
    <row r="202" spans="4:5" x14ac:dyDescent="0.25">
      <c r="E202" t="s">
        <v>76</v>
      </c>
    </row>
    <row r="203" spans="4:5" x14ac:dyDescent="0.25">
      <c r="E203" t="s">
        <v>179</v>
      </c>
    </row>
    <row r="204" spans="4:5" x14ac:dyDescent="0.25">
      <c r="E204" t="s">
        <v>180</v>
      </c>
    </row>
    <row r="205" spans="4:5" x14ac:dyDescent="0.25">
      <c r="E205" t="s">
        <v>181</v>
      </c>
    </row>
    <row r="206" spans="4:5" x14ac:dyDescent="0.25">
      <c r="E206" t="s">
        <v>171</v>
      </c>
    </row>
    <row r="207" spans="4:5" x14ac:dyDescent="0.25">
      <c r="D207" t="s">
        <v>73</v>
      </c>
    </row>
    <row r="208" spans="4:5" x14ac:dyDescent="0.25">
      <c r="D208" t="s">
        <v>71</v>
      </c>
    </row>
    <row r="209" spans="3:5" x14ac:dyDescent="0.25">
      <c r="E209" t="s">
        <v>75</v>
      </c>
    </row>
    <row r="210" spans="3:5" x14ac:dyDescent="0.25">
      <c r="E210" t="s">
        <v>179</v>
      </c>
    </row>
    <row r="211" spans="3:5" x14ac:dyDescent="0.25">
      <c r="E211" t="s">
        <v>180</v>
      </c>
    </row>
    <row r="212" spans="3:5" x14ac:dyDescent="0.25">
      <c r="E212" t="s">
        <v>181</v>
      </c>
    </row>
    <row r="213" spans="3:5" x14ac:dyDescent="0.25">
      <c r="E213" t="s">
        <v>171</v>
      </c>
    </row>
    <row r="214" spans="3:5" x14ac:dyDescent="0.25">
      <c r="D214" t="s">
        <v>73</v>
      </c>
    </row>
    <row r="215" spans="3:5" x14ac:dyDescent="0.25">
      <c r="D215" t="s">
        <v>71</v>
      </c>
    </row>
    <row r="216" spans="3:5" x14ac:dyDescent="0.25">
      <c r="E216" t="s">
        <v>74</v>
      </c>
    </row>
    <row r="217" spans="3:5" x14ac:dyDescent="0.25">
      <c r="E217" t="s">
        <v>179</v>
      </c>
    </row>
    <row r="218" spans="3:5" x14ac:dyDescent="0.25">
      <c r="E218" t="s">
        <v>180</v>
      </c>
    </row>
    <row r="219" spans="3:5" x14ac:dyDescent="0.25">
      <c r="E219" t="s">
        <v>181</v>
      </c>
    </row>
    <row r="220" spans="3:5" x14ac:dyDescent="0.25">
      <c r="E220" t="s">
        <v>171</v>
      </c>
    </row>
    <row r="221" spans="3:5" x14ac:dyDescent="0.25">
      <c r="D221" t="s">
        <v>73</v>
      </c>
    </row>
    <row r="222" spans="3:5" x14ac:dyDescent="0.25">
      <c r="C222" t="s">
        <v>177</v>
      </c>
    </row>
    <row r="223" spans="3:5" x14ac:dyDescent="0.25">
      <c r="C223" t="s">
        <v>69</v>
      </c>
    </row>
    <row r="224" spans="3:5" x14ac:dyDescent="0.25">
      <c r="D224" t="s">
        <v>178</v>
      </c>
    </row>
    <row r="225" spans="4:5" x14ac:dyDescent="0.25">
      <c r="D225" t="s">
        <v>71</v>
      </c>
    </row>
    <row r="226" spans="4:5" x14ac:dyDescent="0.25">
      <c r="E226" t="s">
        <v>175</v>
      </c>
    </row>
    <row r="227" spans="4:5" x14ac:dyDescent="0.25">
      <c r="E227" t="s">
        <v>179</v>
      </c>
    </row>
    <row r="228" spans="4:5" x14ac:dyDescent="0.25">
      <c r="E228" t="s">
        <v>180</v>
      </c>
    </row>
    <row r="229" spans="4:5" x14ac:dyDescent="0.25">
      <c r="E229" t="s">
        <v>181</v>
      </c>
    </row>
    <row r="230" spans="4:5" x14ac:dyDescent="0.25">
      <c r="E230" t="s">
        <v>171</v>
      </c>
    </row>
    <row r="231" spans="4:5" x14ac:dyDescent="0.25">
      <c r="D231" t="s">
        <v>73</v>
      </c>
    </row>
    <row r="232" spans="4:5" x14ac:dyDescent="0.25">
      <c r="D232" t="s">
        <v>71</v>
      </c>
    </row>
    <row r="233" spans="4:5" x14ac:dyDescent="0.25">
      <c r="E233" t="s">
        <v>174</v>
      </c>
    </row>
    <row r="234" spans="4:5" x14ac:dyDescent="0.25">
      <c r="E234" t="s">
        <v>179</v>
      </c>
    </row>
    <row r="235" spans="4:5" x14ac:dyDescent="0.25">
      <c r="E235" t="s">
        <v>180</v>
      </c>
    </row>
    <row r="236" spans="4:5" x14ac:dyDescent="0.25">
      <c r="E236" t="s">
        <v>181</v>
      </c>
    </row>
    <row r="237" spans="4:5" x14ac:dyDescent="0.25">
      <c r="E237" t="s">
        <v>171</v>
      </c>
    </row>
    <row r="238" spans="4:5" x14ac:dyDescent="0.25">
      <c r="D238" t="s">
        <v>73</v>
      </c>
    </row>
    <row r="239" spans="4:5" x14ac:dyDescent="0.25">
      <c r="D239" t="s">
        <v>71</v>
      </c>
    </row>
    <row r="240" spans="4:5" x14ac:dyDescent="0.25">
      <c r="E240" t="s">
        <v>173</v>
      </c>
    </row>
    <row r="241" spans="4:5" x14ac:dyDescent="0.25">
      <c r="E241" t="s">
        <v>179</v>
      </c>
    </row>
    <row r="242" spans="4:5" x14ac:dyDescent="0.25">
      <c r="E242" t="s">
        <v>180</v>
      </c>
    </row>
    <row r="243" spans="4:5" x14ac:dyDescent="0.25">
      <c r="E243" t="s">
        <v>181</v>
      </c>
    </row>
    <row r="244" spans="4:5" x14ac:dyDescent="0.25">
      <c r="E244" t="s">
        <v>171</v>
      </c>
    </row>
    <row r="245" spans="4:5" x14ac:dyDescent="0.25">
      <c r="D245" t="s">
        <v>73</v>
      </c>
    </row>
    <row r="246" spans="4:5" x14ac:dyDescent="0.25">
      <c r="D246" t="s">
        <v>71</v>
      </c>
    </row>
    <row r="247" spans="4:5" x14ac:dyDescent="0.25">
      <c r="E247" t="s">
        <v>82</v>
      </c>
    </row>
    <row r="248" spans="4:5" x14ac:dyDescent="0.25">
      <c r="E248" t="s">
        <v>179</v>
      </c>
    </row>
    <row r="249" spans="4:5" x14ac:dyDescent="0.25">
      <c r="E249" t="s">
        <v>180</v>
      </c>
    </row>
    <row r="250" spans="4:5" x14ac:dyDescent="0.25">
      <c r="E250" t="s">
        <v>181</v>
      </c>
    </row>
    <row r="251" spans="4:5" x14ac:dyDescent="0.25">
      <c r="E251" t="s">
        <v>171</v>
      </c>
    </row>
    <row r="252" spans="4:5" x14ac:dyDescent="0.25">
      <c r="D252" t="s">
        <v>73</v>
      </c>
    </row>
    <row r="253" spans="4:5" x14ac:dyDescent="0.25">
      <c r="D253" t="s">
        <v>71</v>
      </c>
    </row>
    <row r="254" spans="4:5" x14ac:dyDescent="0.25">
      <c r="E254" t="s">
        <v>81</v>
      </c>
    </row>
    <row r="255" spans="4:5" x14ac:dyDescent="0.25">
      <c r="E255" t="s">
        <v>179</v>
      </c>
    </row>
    <row r="256" spans="4:5" x14ac:dyDescent="0.25">
      <c r="E256" t="s">
        <v>180</v>
      </c>
    </row>
    <row r="257" spans="4:5" x14ac:dyDescent="0.25">
      <c r="E257" t="s">
        <v>182</v>
      </c>
    </row>
    <row r="258" spans="4:5" x14ac:dyDescent="0.25">
      <c r="E258" t="s">
        <v>183</v>
      </c>
    </row>
    <row r="259" spans="4:5" x14ac:dyDescent="0.25">
      <c r="D259" t="s">
        <v>73</v>
      </c>
    </row>
    <row r="260" spans="4:5" x14ac:dyDescent="0.25">
      <c r="D260" t="s">
        <v>71</v>
      </c>
    </row>
    <row r="261" spans="4:5" x14ac:dyDescent="0.25">
      <c r="E261" t="s">
        <v>80</v>
      </c>
    </row>
    <row r="262" spans="4:5" x14ac:dyDescent="0.25">
      <c r="E262" t="s">
        <v>179</v>
      </c>
    </row>
    <row r="263" spans="4:5" x14ac:dyDescent="0.25">
      <c r="E263" t="s">
        <v>180</v>
      </c>
    </row>
    <row r="264" spans="4:5" x14ac:dyDescent="0.25">
      <c r="E264" t="s">
        <v>184</v>
      </c>
    </row>
    <row r="265" spans="4:5" x14ac:dyDescent="0.25">
      <c r="E265" t="s">
        <v>185</v>
      </c>
    </row>
    <row r="266" spans="4:5" x14ac:dyDescent="0.25">
      <c r="D266" t="s">
        <v>73</v>
      </c>
    </row>
    <row r="267" spans="4:5" x14ac:dyDescent="0.25">
      <c r="D267" t="s">
        <v>71</v>
      </c>
    </row>
    <row r="268" spans="4:5" x14ac:dyDescent="0.25">
      <c r="E268" t="s">
        <v>79</v>
      </c>
    </row>
    <row r="269" spans="4:5" x14ac:dyDescent="0.25">
      <c r="E269" t="s">
        <v>179</v>
      </c>
    </row>
    <row r="270" spans="4:5" x14ac:dyDescent="0.25">
      <c r="E270" t="s">
        <v>180</v>
      </c>
    </row>
    <row r="271" spans="4:5" x14ac:dyDescent="0.25">
      <c r="E271" t="s">
        <v>186</v>
      </c>
    </row>
    <row r="272" spans="4:5" x14ac:dyDescent="0.25">
      <c r="E272" t="s">
        <v>187</v>
      </c>
    </row>
    <row r="273" spans="4:5" x14ac:dyDescent="0.25">
      <c r="D273" t="s">
        <v>73</v>
      </c>
    </row>
    <row r="274" spans="4:5" x14ac:dyDescent="0.25">
      <c r="D274" t="s">
        <v>71</v>
      </c>
    </row>
    <row r="275" spans="4:5" x14ac:dyDescent="0.25">
      <c r="E275" t="s">
        <v>78</v>
      </c>
    </row>
    <row r="276" spans="4:5" x14ac:dyDescent="0.25">
      <c r="E276" t="s">
        <v>179</v>
      </c>
    </row>
    <row r="277" spans="4:5" x14ac:dyDescent="0.25">
      <c r="E277" t="s">
        <v>180</v>
      </c>
    </row>
    <row r="278" spans="4:5" x14ac:dyDescent="0.25">
      <c r="E278" t="s">
        <v>182</v>
      </c>
    </row>
    <row r="279" spans="4:5" x14ac:dyDescent="0.25">
      <c r="E279" t="s">
        <v>183</v>
      </c>
    </row>
    <row r="280" spans="4:5" x14ac:dyDescent="0.25">
      <c r="D280" t="s">
        <v>73</v>
      </c>
    </row>
    <row r="281" spans="4:5" x14ac:dyDescent="0.25">
      <c r="D281" t="s">
        <v>71</v>
      </c>
    </row>
    <row r="282" spans="4:5" x14ac:dyDescent="0.25">
      <c r="E282" t="s">
        <v>77</v>
      </c>
    </row>
    <row r="283" spans="4:5" x14ac:dyDescent="0.25">
      <c r="E283" t="s">
        <v>179</v>
      </c>
    </row>
    <row r="284" spans="4:5" x14ac:dyDescent="0.25">
      <c r="E284" t="s">
        <v>180</v>
      </c>
    </row>
    <row r="285" spans="4:5" x14ac:dyDescent="0.25">
      <c r="E285" t="s">
        <v>181</v>
      </c>
    </row>
    <row r="286" spans="4:5" x14ac:dyDescent="0.25">
      <c r="E286" t="s">
        <v>171</v>
      </c>
    </row>
    <row r="287" spans="4:5" x14ac:dyDescent="0.25">
      <c r="D287" t="s">
        <v>73</v>
      </c>
    </row>
    <row r="288" spans="4:5" x14ac:dyDescent="0.25">
      <c r="D288" t="s">
        <v>71</v>
      </c>
    </row>
    <row r="289" spans="4:5" x14ac:dyDescent="0.25">
      <c r="E289" t="s">
        <v>76</v>
      </c>
    </row>
    <row r="290" spans="4:5" x14ac:dyDescent="0.25">
      <c r="E290" t="s">
        <v>179</v>
      </c>
    </row>
    <row r="291" spans="4:5" x14ac:dyDescent="0.25">
      <c r="E291" t="s">
        <v>180</v>
      </c>
    </row>
    <row r="292" spans="4:5" x14ac:dyDescent="0.25">
      <c r="E292" t="s">
        <v>181</v>
      </c>
    </row>
    <row r="293" spans="4:5" x14ac:dyDescent="0.25">
      <c r="E293" t="s">
        <v>171</v>
      </c>
    </row>
    <row r="294" spans="4:5" x14ac:dyDescent="0.25">
      <c r="D294" t="s">
        <v>73</v>
      </c>
    </row>
    <row r="295" spans="4:5" x14ac:dyDescent="0.25">
      <c r="D295" t="s">
        <v>71</v>
      </c>
    </row>
    <row r="296" spans="4:5" x14ac:dyDescent="0.25">
      <c r="E296" t="s">
        <v>75</v>
      </c>
    </row>
    <row r="297" spans="4:5" x14ac:dyDescent="0.25">
      <c r="E297" t="s">
        <v>179</v>
      </c>
    </row>
    <row r="298" spans="4:5" x14ac:dyDescent="0.25">
      <c r="E298" t="s">
        <v>180</v>
      </c>
    </row>
    <row r="299" spans="4:5" x14ac:dyDescent="0.25">
      <c r="E299" t="s">
        <v>181</v>
      </c>
    </row>
    <row r="300" spans="4:5" x14ac:dyDescent="0.25">
      <c r="E300" t="s">
        <v>171</v>
      </c>
    </row>
    <row r="301" spans="4:5" x14ac:dyDescent="0.25">
      <c r="D301" t="s">
        <v>73</v>
      </c>
    </row>
    <row r="302" spans="4:5" x14ac:dyDescent="0.25">
      <c r="D302" t="s">
        <v>71</v>
      </c>
    </row>
    <row r="303" spans="4:5" x14ac:dyDescent="0.25">
      <c r="E303" t="s">
        <v>74</v>
      </c>
    </row>
    <row r="304" spans="4:5" x14ac:dyDescent="0.25">
      <c r="E304" t="s">
        <v>179</v>
      </c>
    </row>
    <row r="305" spans="3:5" x14ac:dyDescent="0.25">
      <c r="E305" t="s">
        <v>180</v>
      </c>
    </row>
    <row r="306" spans="3:5" x14ac:dyDescent="0.25">
      <c r="E306" t="s">
        <v>181</v>
      </c>
    </row>
    <row r="307" spans="3:5" x14ac:dyDescent="0.25">
      <c r="E307" t="s">
        <v>171</v>
      </c>
    </row>
    <row r="308" spans="3:5" x14ac:dyDescent="0.25">
      <c r="D308" t="s">
        <v>73</v>
      </c>
    </row>
    <row r="309" spans="3:5" x14ac:dyDescent="0.25">
      <c r="C309" t="s">
        <v>177</v>
      </c>
    </row>
    <row r="310" spans="3:5" x14ac:dyDescent="0.25">
      <c r="C310" t="s">
        <v>69</v>
      </c>
    </row>
    <row r="311" spans="3:5" x14ac:dyDescent="0.25">
      <c r="D311" t="s">
        <v>188</v>
      </c>
    </row>
    <row r="312" spans="3:5" x14ac:dyDescent="0.25">
      <c r="D312" t="s">
        <v>71</v>
      </c>
    </row>
    <row r="313" spans="3:5" x14ac:dyDescent="0.25">
      <c r="E313" t="s">
        <v>175</v>
      </c>
    </row>
    <row r="314" spans="3:5" x14ac:dyDescent="0.25">
      <c r="E314" t="s">
        <v>179</v>
      </c>
    </row>
    <row r="315" spans="3:5" x14ac:dyDescent="0.25">
      <c r="E315" t="s">
        <v>180</v>
      </c>
    </row>
    <row r="316" spans="3:5" x14ac:dyDescent="0.25">
      <c r="E316" t="s">
        <v>189</v>
      </c>
    </row>
    <row r="317" spans="3:5" x14ac:dyDescent="0.25">
      <c r="E317" t="s">
        <v>190</v>
      </c>
    </row>
    <row r="318" spans="3:5" x14ac:dyDescent="0.25">
      <c r="D318" t="s">
        <v>73</v>
      </c>
    </row>
    <row r="319" spans="3:5" x14ac:dyDescent="0.25">
      <c r="D319" t="s">
        <v>71</v>
      </c>
    </row>
    <row r="320" spans="3:5" x14ac:dyDescent="0.25">
      <c r="E320" t="s">
        <v>174</v>
      </c>
    </row>
    <row r="321" spans="4:5" x14ac:dyDescent="0.25">
      <c r="E321" t="s">
        <v>179</v>
      </c>
    </row>
    <row r="322" spans="4:5" x14ac:dyDescent="0.25">
      <c r="E322" t="s">
        <v>180</v>
      </c>
    </row>
    <row r="323" spans="4:5" x14ac:dyDescent="0.25">
      <c r="E323" t="s">
        <v>191</v>
      </c>
    </row>
    <row r="324" spans="4:5" x14ac:dyDescent="0.25">
      <c r="E324" t="s">
        <v>192</v>
      </c>
    </row>
    <row r="325" spans="4:5" x14ac:dyDescent="0.25">
      <c r="D325" t="s">
        <v>73</v>
      </c>
    </row>
    <row r="326" spans="4:5" x14ac:dyDescent="0.25">
      <c r="D326" t="s">
        <v>71</v>
      </c>
    </row>
    <row r="327" spans="4:5" x14ac:dyDescent="0.25">
      <c r="E327" t="s">
        <v>173</v>
      </c>
    </row>
    <row r="328" spans="4:5" x14ac:dyDescent="0.25">
      <c r="E328" t="s">
        <v>179</v>
      </c>
    </row>
    <row r="329" spans="4:5" x14ac:dyDescent="0.25">
      <c r="E329" t="s">
        <v>180</v>
      </c>
    </row>
    <row r="330" spans="4:5" x14ac:dyDescent="0.25">
      <c r="E330" t="s">
        <v>193</v>
      </c>
    </row>
    <row r="331" spans="4:5" x14ac:dyDescent="0.25">
      <c r="E331" t="s">
        <v>194</v>
      </c>
    </row>
    <row r="332" spans="4:5" x14ac:dyDescent="0.25">
      <c r="D332" t="s">
        <v>73</v>
      </c>
    </row>
    <row r="333" spans="4:5" x14ac:dyDescent="0.25">
      <c r="D333" t="s">
        <v>71</v>
      </c>
    </row>
    <row r="334" spans="4:5" x14ac:dyDescent="0.25">
      <c r="E334" t="s">
        <v>82</v>
      </c>
    </row>
    <row r="335" spans="4:5" x14ac:dyDescent="0.25">
      <c r="E335" t="s">
        <v>179</v>
      </c>
    </row>
    <row r="336" spans="4:5" x14ac:dyDescent="0.25">
      <c r="E336" t="s">
        <v>180</v>
      </c>
    </row>
    <row r="337" spans="4:5" x14ac:dyDescent="0.25">
      <c r="E337" t="s">
        <v>195</v>
      </c>
    </row>
    <row r="338" spans="4:5" x14ac:dyDescent="0.25">
      <c r="E338" t="s">
        <v>196</v>
      </c>
    </row>
    <row r="339" spans="4:5" x14ac:dyDescent="0.25">
      <c r="D339" t="s">
        <v>73</v>
      </c>
    </row>
    <row r="340" spans="4:5" x14ac:dyDescent="0.25">
      <c r="D340" t="s">
        <v>71</v>
      </c>
    </row>
    <row r="341" spans="4:5" x14ac:dyDescent="0.25">
      <c r="E341" t="s">
        <v>81</v>
      </c>
    </row>
    <row r="342" spans="4:5" x14ac:dyDescent="0.25">
      <c r="E342" t="s">
        <v>179</v>
      </c>
    </row>
    <row r="343" spans="4:5" x14ac:dyDescent="0.25">
      <c r="E343" t="s">
        <v>180</v>
      </c>
    </row>
    <row r="344" spans="4:5" x14ac:dyDescent="0.25">
      <c r="E344" t="s">
        <v>197</v>
      </c>
    </row>
    <row r="345" spans="4:5" x14ac:dyDescent="0.25">
      <c r="E345" t="s">
        <v>198</v>
      </c>
    </row>
    <row r="346" spans="4:5" x14ac:dyDescent="0.25">
      <c r="D346" t="s">
        <v>73</v>
      </c>
    </row>
    <row r="347" spans="4:5" x14ac:dyDescent="0.25">
      <c r="D347" t="s">
        <v>71</v>
      </c>
    </row>
    <row r="348" spans="4:5" x14ac:dyDescent="0.25">
      <c r="E348" t="s">
        <v>80</v>
      </c>
    </row>
    <row r="349" spans="4:5" x14ac:dyDescent="0.25">
      <c r="E349" t="s">
        <v>179</v>
      </c>
    </row>
    <row r="350" spans="4:5" x14ac:dyDescent="0.25">
      <c r="E350" t="s">
        <v>180</v>
      </c>
    </row>
    <row r="351" spans="4:5" x14ac:dyDescent="0.25">
      <c r="E351" t="s">
        <v>199</v>
      </c>
    </row>
    <row r="352" spans="4:5" x14ac:dyDescent="0.25">
      <c r="E352" t="s">
        <v>200</v>
      </c>
    </row>
    <row r="353" spans="4:5" x14ac:dyDescent="0.25">
      <c r="D353" t="s">
        <v>73</v>
      </c>
    </row>
    <row r="354" spans="4:5" x14ac:dyDescent="0.25">
      <c r="D354" t="s">
        <v>71</v>
      </c>
    </row>
    <row r="355" spans="4:5" x14ac:dyDescent="0.25">
      <c r="E355" t="s">
        <v>79</v>
      </c>
    </row>
    <row r="356" spans="4:5" x14ac:dyDescent="0.25">
      <c r="E356" t="s">
        <v>179</v>
      </c>
    </row>
    <row r="357" spans="4:5" x14ac:dyDescent="0.25">
      <c r="E357" t="s">
        <v>180</v>
      </c>
    </row>
    <row r="358" spans="4:5" x14ac:dyDescent="0.25">
      <c r="E358" t="s">
        <v>201</v>
      </c>
    </row>
    <row r="359" spans="4:5" x14ac:dyDescent="0.25">
      <c r="E359" t="s">
        <v>202</v>
      </c>
    </row>
    <row r="360" spans="4:5" x14ac:dyDescent="0.25">
      <c r="D360" t="s">
        <v>73</v>
      </c>
    </row>
    <row r="361" spans="4:5" x14ac:dyDescent="0.25">
      <c r="D361" t="s">
        <v>71</v>
      </c>
    </row>
    <row r="362" spans="4:5" x14ac:dyDescent="0.25">
      <c r="E362" t="s">
        <v>78</v>
      </c>
    </row>
    <row r="363" spans="4:5" x14ac:dyDescent="0.25">
      <c r="E363" t="s">
        <v>179</v>
      </c>
    </row>
    <row r="364" spans="4:5" x14ac:dyDescent="0.25">
      <c r="E364" t="s">
        <v>180</v>
      </c>
    </row>
    <row r="365" spans="4:5" x14ac:dyDescent="0.25">
      <c r="E365" t="s">
        <v>203</v>
      </c>
    </row>
    <row r="366" spans="4:5" x14ac:dyDescent="0.25">
      <c r="E366" t="s">
        <v>202</v>
      </c>
    </row>
    <row r="367" spans="4:5" x14ac:dyDescent="0.25">
      <c r="D367" t="s">
        <v>73</v>
      </c>
    </row>
    <row r="368" spans="4:5" x14ac:dyDescent="0.25">
      <c r="D368" t="s">
        <v>71</v>
      </c>
    </row>
    <row r="369" spans="4:5" x14ac:dyDescent="0.25">
      <c r="E369" t="s">
        <v>77</v>
      </c>
    </row>
    <row r="370" spans="4:5" x14ac:dyDescent="0.25">
      <c r="E370" t="s">
        <v>179</v>
      </c>
    </row>
    <row r="371" spans="4:5" x14ac:dyDescent="0.25">
      <c r="E371" t="s">
        <v>180</v>
      </c>
    </row>
    <row r="372" spans="4:5" x14ac:dyDescent="0.25">
      <c r="E372" t="s">
        <v>204</v>
      </c>
    </row>
    <row r="373" spans="4:5" x14ac:dyDescent="0.25">
      <c r="E373" t="s">
        <v>171</v>
      </c>
    </row>
    <row r="374" spans="4:5" x14ac:dyDescent="0.25">
      <c r="D374" t="s">
        <v>73</v>
      </c>
    </row>
    <row r="375" spans="4:5" x14ac:dyDescent="0.25">
      <c r="D375" t="s">
        <v>71</v>
      </c>
    </row>
    <row r="376" spans="4:5" x14ac:dyDescent="0.25">
      <c r="E376" t="s">
        <v>76</v>
      </c>
    </row>
    <row r="377" spans="4:5" x14ac:dyDescent="0.25">
      <c r="E377" t="s">
        <v>179</v>
      </c>
    </row>
    <row r="378" spans="4:5" x14ac:dyDescent="0.25">
      <c r="E378" t="s">
        <v>180</v>
      </c>
    </row>
    <row r="379" spans="4:5" x14ac:dyDescent="0.25">
      <c r="E379" t="s">
        <v>205</v>
      </c>
    </row>
    <row r="380" spans="4:5" x14ac:dyDescent="0.25">
      <c r="E380" t="s">
        <v>171</v>
      </c>
    </row>
    <row r="381" spans="4:5" x14ac:dyDescent="0.25">
      <c r="D381" t="s">
        <v>73</v>
      </c>
    </row>
    <row r="382" spans="4:5" x14ac:dyDescent="0.25">
      <c r="D382" t="s">
        <v>71</v>
      </c>
    </row>
    <row r="383" spans="4:5" x14ac:dyDescent="0.25">
      <c r="E383" t="s">
        <v>75</v>
      </c>
    </row>
    <row r="384" spans="4:5" x14ac:dyDescent="0.25">
      <c r="E384" t="s">
        <v>179</v>
      </c>
    </row>
    <row r="385" spans="3:5" x14ac:dyDescent="0.25">
      <c r="E385" t="s">
        <v>180</v>
      </c>
    </row>
    <row r="386" spans="3:5" x14ac:dyDescent="0.25">
      <c r="E386" t="s">
        <v>206</v>
      </c>
    </row>
    <row r="387" spans="3:5" x14ac:dyDescent="0.25">
      <c r="E387" t="s">
        <v>207</v>
      </c>
    </row>
    <row r="388" spans="3:5" x14ac:dyDescent="0.25">
      <c r="D388" t="s">
        <v>73</v>
      </c>
    </row>
    <row r="389" spans="3:5" x14ac:dyDescent="0.25">
      <c r="D389" t="s">
        <v>71</v>
      </c>
    </row>
    <row r="390" spans="3:5" x14ac:dyDescent="0.25">
      <c r="E390" t="s">
        <v>74</v>
      </c>
    </row>
    <row r="391" spans="3:5" x14ac:dyDescent="0.25">
      <c r="E391" t="s">
        <v>179</v>
      </c>
    </row>
    <row r="392" spans="3:5" x14ac:dyDescent="0.25">
      <c r="E392" t="s">
        <v>180</v>
      </c>
    </row>
    <row r="393" spans="3:5" x14ac:dyDescent="0.25">
      <c r="E393" t="s">
        <v>208</v>
      </c>
    </row>
    <row r="394" spans="3:5" x14ac:dyDescent="0.25">
      <c r="E394" t="s">
        <v>209</v>
      </c>
    </row>
    <row r="395" spans="3:5" x14ac:dyDescent="0.25">
      <c r="D395" t="s">
        <v>73</v>
      </c>
    </row>
    <row r="396" spans="3:5" x14ac:dyDescent="0.25">
      <c r="C396" t="s">
        <v>177</v>
      </c>
    </row>
    <row r="397" spans="3:5" x14ac:dyDescent="0.25">
      <c r="C397" t="s">
        <v>69</v>
      </c>
    </row>
    <row r="398" spans="3:5" x14ac:dyDescent="0.25">
      <c r="D398" t="s">
        <v>210</v>
      </c>
    </row>
    <row r="399" spans="3:5" x14ac:dyDescent="0.25">
      <c r="D399" t="s">
        <v>71</v>
      </c>
    </row>
    <row r="400" spans="3:5" x14ac:dyDescent="0.25">
      <c r="E400" t="s">
        <v>175</v>
      </c>
    </row>
    <row r="401" spans="4:5" x14ac:dyDescent="0.25">
      <c r="E401" t="s">
        <v>179</v>
      </c>
    </row>
    <row r="402" spans="4:5" x14ac:dyDescent="0.25">
      <c r="E402" t="s">
        <v>180</v>
      </c>
    </row>
    <row r="403" spans="4:5" x14ac:dyDescent="0.25">
      <c r="E403" t="s">
        <v>211</v>
      </c>
    </row>
    <row r="404" spans="4:5" x14ac:dyDescent="0.25">
      <c r="E404" t="s">
        <v>212</v>
      </c>
    </row>
    <row r="405" spans="4:5" x14ac:dyDescent="0.25">
      <c r="D405" t="s">
        <v>73</v>
      </c>
    </row>
    <row r="406" spans="4:5" x14ac:dyDescent="0.25">
      <c r="D406" t="s">
        <v>71</v>
      </c>
    </row>
    <row r="407" spans="4:5" x14ac:dyDescent="0.25">
      <c r="E407" t="s">
        <v>174</v>
      </c>
    </row>
    <row r="408" spans="4:5" x14ac:dyDescent="0.25">
      <c r="E408" t="s">
        <v>179</v>
      </c>
    </row>
    <row r="409" spans="4:5" x14ac:dyDescent="0.25">
      <c r="E409" t="s">
        <v>180</v>
      </c>
    </row>
    <row r="410" spans="4:5" x14ac:dyDescent="0.25">
      <c r="E410" t="s">
        <v>213</v>
      </c>
    </row>
    <row r="411" spans="4:5" x14ac:dyDescent="0.25">
      <c r="E411" t="s">
        <v>171</v>
      </c>
    </row>
    <row r="412" spans="4:5" x14ac:dyDescent="0.25">
      <c r="D412" t="s">
        <v>73</v>
      </c>
    </row>
    <row r="413" spans="4:5" x14ac:dyDescent="0.25">
      <c r="D413" t="s">
        <v>71</v>
      </c>
    </row>
    <row r="414" spans="4:5" x14ac:dyDescent="0.25">
      <c r="E414" t="s">
        <v>173</v>
      </c>
    </row>
    <row r="415" spans="4:5" x14ac:dyDescent="0.25">
      <c r="E415" t="s">
        <v>179</v>
      </c>
    </row>
    <row r="416" spans="4:5" x14ac:dyDescent="0.25">
      <c r="E416" t="s">
        <v>180</v>
      </c>
    </row>
    <row r="417" spans="4:5" x14ac:dyDescent="0.25">
      <c r="E417" t="s">
        <v>214</v>
      </c>
    </row>
    <row r="418" spans="4:5" x14ac:dyDescent="0.25">
      <c r="E418" t="s">
        <v>215</v>
      </c>
    </row>
    <row r="419" spans="4:5" x14ac:dyDescent="0.25">
      <c r="D419" t="s">
        <v>73</v>
      </c>
    </row>
    <row r="420" spans="4:5" x14ac:dyDescent="0.25">
      <c r="D420" t="s">
        <v>71</v>
      </c>
    </row>
    <row r="421" spans="4:5" x14ac:dyDescent="0.25">
      <c r="E421" t="s">
        <v>82</v>
      </c>
    </row>
    <row r="422" spans="4:5" x14ac:dyDescent="0.25">
      <c r="E422" t="s">
        <v>179</v>
      </c>
    </row>
    <row r="423" spans="4:5" x14ac:dyDescent="0.25">
      <c r="E423" t="s">
        <v>180</v>
      </c>
    </row>
    <row r="424" spans="4:5" x14ac:dyDescent="0.25">
      <c r="E424" t="s">
        <v>216</v>
      </c>
    </row>
    <row r="425" spans="4:5" x14ac:dyDescent="0.25">
      <c r="E425" t="s">
        <v>171</v>
      </c>
    </row>
    <row r="426" spans="4:5" x14ac:dyDescent="0.25">
      <c r="D426" t="s">
        <v>73</v>
      </c>
    </row>
    <row r="427" spans="4:5" x14ac:dyDescent="0.25">
      <c r="D427" t="s">
        <v>71</v>
      </c>
    </row>
    <row r="428" spans="4:5" x14ac:dyDescent="0.25">
      <c r="E428" t="s">
        <v>81</v>
      </c>
    </row>
    <row r="429" spans="4:5" x14ac:dyDescent="0.25">
      <c r="E429" t="s">
        <v>179</v>
      </c>
    </row>
    <row r="430" spans="4:5" x14ac:dyDescent="0.25">
      <c r="E430" t="s">
        <v>180</v>
      </c>
    </row>
    <row r="431" spans="4:5" x14ac:dyDescent="0.25">
      <c r="E431" t="s">
        <v>217</v>
      </c>
    </row>
    <row r="432" spans="4:5" x14ac:dyDescent="0.25">
      <c r="E432" t="s">
        <v>218</v>
      </c>
    </row>
    <row r="433" spans="4:5" x14ac:dyDescent="0.25">
      <c r="D433" t="s">
        <v>73</v>
      </c>
    </row>
    <row r="434" spans="4:5" x14ac:dyDescent="0.25">
      <c r="D434" t="s">
        <v>71</v>
      </c>
    </row>
    <row r="435" spans="4:5" x14ac:dyDescent="0.25">
      <c r="E435" t="s">
        <v>80</v>
      </c>
    </row>
    <row r="436" spans="4:5" x14ac:dyDescent="0.25">
      <c r="E436" t="s">
        <v>179</v>
      </c>
    </row>
    <row r="437" spans="4:5" x14ac:dyDescent="0.25">
      <c r="E437" t="s">
        <v>180</v>
      </c>
    </row>
    <row r="438" spans="4:5" x14ac:dyDescent="0.25">
      <c r="E438" t="s">
        <v>219</v>
      </c>
    </row>
    <row r="439" spans="4:5" x14ac:dyDescent="0.25">
      <c r="E439" t="s">
        <v>220</v>
      </c>
    </row>
    <row r="440" spans="4:5" x14ac:dyDescent="0.25">
      <c r="D440" t="s">
        <v>73</v>
      </c>
    </row>
    <row r="441" spans="4:5" x14ac:dyDescent="0.25">
      <c r="D441" t="s">
        <v>71</v>
      </c>
    </row>
    <row r="442" spans="4:5" x14ac:dyDescent="0.25">
      <c r="E442" t="s">
        <v>79</v>
      </c>
    </row>
    <row r="443" spans="4:5" x14ac:dyDescent="0.25">
      <c r="E443" t="s">
        <v>179</v>
      </c>
    </row>
    <row r="444" spans="4:5" x14ac:dyDescent="0.25">
      <c r="E444" t="s">
        <v>180</v>
      </c>
    </row>
    <row r="445" spans="4:5" x14ac:dyDescent="0.25">
      <c r="E445" t="s">
        <v>221</v>
      </c>
    </row>
    <row r="446" spans="4:5" x14ac:dyDescent="0.25">
      <c r="E446" t="s">
        <v>171</v>
      </c>
    </row>
    <row r="447" spans="4:5" x14ac:dyDescent="0.25">
      <c r="D447" t="s">
        <v>73</v>
      </c>
    </row>
    <row r="448" spans="4:5" x14ac:dyDescent="0.25">
      <c r="D448" t="s">
        <v>71</v>
      </c>
    </row>
    <row r="449" spans="4:5" x14ac:dyDescent="0.25">
      <c r="E449" t="s">
        <v>78</v>
      </c>
    </row>
    <row r="450" spans="4:5" x14ac:dyDescent="0.25">
      <c r="E450" t="s">
        <v>179</v>
      </c>
    </row>
    <row r="451" spans="4:5" x14ac:dyDescent="0.25">
      <c r="E451" t="s">
        <v>180</v>
      </c>
    </row>
    <row r="452" spans="4:5" x14ac:dyDescent="0.25">
      <c r="E452" t="s">
        <v>222</v>
      </c>
    </row>
    <row r="453" spans="4:5" x14ac:dyDescent="0.25">
      <c r="E453" t="s">
        <v>223</v>
      </c>
    </row>
    <row r="454" spans="4:5" x14ac:dyDescent="0.25">
      <c r="D454" t="s">
        <v>73</v>
      </c>
    </row>
    <row r="455" spans="4:5" x14ac:dyDescent="0.25">
      <c r="D455" t="s">
        <v>71</v>
      </c>
    </row>
    <row r="456" spans="4:5" x14ac:dyDescent="0.25">
      <c r="E456" t="s">
        <v>77</v>
      </c>
    </row>
    <row r="457" spans="4:5" x14ac:dyDescent="0.25">
      <c r="E457" t="s">
        <v>179</v>
      </c>
    </row>
    <row r="458" spans="4:5" x14ac:dyDescent="0.25">
      <c r="E458" t="s">
        <v>180</v>
      </c>
    </row>
    <row r="459" spans="4:5" x14ac:dyDescent="0.25">
      <c r="E459" t="s">
        <v>224</v>
      </c>
    </row>
    <row r="460" spans="4:5" x14ac:dyDescent="0.25">
      <c r="E460" t="s">
        <v>225</v>
      </c>
    </row>
    <row r="461" spans="4:5" x14ac:dyDescent="0.25">
      <c r="D461" t="s">
        <v>73</v>
      </c>
    </row>
    <row r="462" spans="4:5" x14ac:dyDescent="0.25">
      <c r="D462" t="s">
        <v>71</v>
      </c>
    </row>
    <row r="463" spans="4:5" x14ac:dyDescent="0.25">
      <c r="E463" t="s">
        <v>76</v>
      </c>
    </row>
    <row r="464" spans="4:5" x14ac:dyDescent="0.25">
      <c r="E464" t="s">
        <v>179</v>
      </c>
    </row>
    <row r="465" spans="4:5" x14ac:dyDescent="0.25">
      <c r="E465" t="s">
        <v>180</v>
      </c>
    </row>
    <row r="466" spans="4:5" x14ac:dyDescent="0.25">
      <c r="E466" t="s">
        <v>226</v>
      </c>
    </row>
    <row r="467" spans="4:5" x14ac:dyDescent="0.25">
      <c r="E467" t="s">
        <v>227</v>
      </c>
    </row>
    <row r="468" spans="4:5" x14ac:dyDescent="0.25">
      <c r="D468" t="s">
        <v>73</v>
      </c>
    </row>
    <row r="469" spans="4:5" x14ac:dyDescent="0.25">
      <c r="D469" t="s">
        <v>71</v>
      </c>
    </row>
    <row r="470" spans="4:5" x14ac:dyDescent="0.25">
      <c r="E470" t="s">
        <v>75</v>
      </c>
    </row>
    <row r="471" spans="4:5" x14ac:dyDescent="0.25">
      <c r="E471" t="s">
        <v>179</v>
      </c>
    </row>
    <row r="472" spans="4:5" x14ac:dyDescent="0.25">
      <c r="E472" t="s">
        <v>180</v>
      </c>
    </row>
    <row r="473" spans="4:5" x14ac:dyDescent="0.25">
      <c r="E473" t="s">
        <v>228</v>
      </c>
    </row>
    <row r="474" spans="4:5" x14ac:dyDescent="0.25">
      <c r="E474" t="s">
        <v>229</v>
      </c>
    </row>
    <row r="475" spans="4:5" x14ac:dyDescent="0.25">
      <c r="D475" t="s">
        <v>73</v>
      </c>
    </row>
    <row r="476" spans="4:5" x14ac:dyDescent="0.25">
      <c r="D476" t="s">
        <v>71</v>
      </c>
    </row>
    <row r="477" spans="4:5" x14ac:dyDescent="0.25">
      <c r="E477" t="s">
        <v>74</v>
      </c>
    </row>
    <row r="478" spans="4:5" x14ac:dyDescent="0.25">
      <c r="E478" t="s">
        <v>179</v>
      </c>
    </row>
    <row r="479" spans="4:5" x14ac:dyDescent="0.25">
      <c r="E479" t="s">
        <v>180</v>
      </c>
    </row>
    <row r="480" spans="4:5" x14ac:dyDescent="0.25">
      <c r="E480" t="s">
        <v>230</v>
      </c>
    </row>
    <row r="481" spans="3:5" x14ac:dyDescent="0.25">
      <c r="E481" t="s">
        <v>231</v>
      </c>
    </row>
    <row r="482" spans="3:5" x14ac:dyDescent="0.25">
      <c r="D482" t="s">
        <v>73</v>
      </c>
    </row>
    <row r="483" spans="3:5" x14ac:dyDescent="0.25">
      <c r="C483" t="s">
        <v>177</v>
      </c>
    </row>
    <row r="484" spans="3:5" x14ac:dyDescent="0.25">
      <c r="C484" t="s">
        <v>69</v>
      </c>
    </row>
    <row r="485" spans="3:5" x14ac:dyDescent="0.25">
      <c r="D485" t="s">
        <v>232</v>
      </c>
    </row>
    <row r="486" spans="3:5" x14ac:dyDescent="0.25">
      <c r="D486" t="s">
        <v>71</v>
      </c>
    </row>
    <row r="487" spans="3:5" x14ac:dyDescent="0.25">
      <c r="E487" t="s">
        <v>175</v>
      </c>
    </row>
    <row r="488" spans="3:5" x14ac:dyDescent="0.25">
      <c r="E488" t="s">
        <v>179</v>
      </c>
    </row>
    <row r="489" spans="3:5" x14ac:dyDescent="0.25">
      <c r="E489" t="s">
        <v>180</v>
      </c>
    </row>
    <row r="490" spans="3:5" x14ac:dyDescent="0.25">
      <c r="E490" t="s">
        <v>233</v>
      </c>
    </row>
    <row r="491" spans="3:5" x14ac:dyDescent="0.25">
      <c r="E491" t="s">
        <v>234</v>
      </c>
    </row>
    <row r="492" spans="3:5" x14ac:dyDescent="0.25">
      <c r="D492" t="s">
        <v>73</v>
      </c>
    </row>
    <row r="493" spans="3:5" x14ac:dyDescent="0.25">
      <c r="D493" t="s">
        <v>71</v>
      </c>
    </row>
    <row r="494" spans="3:5" x14ac:dyDescent="0.25">
      <c r="E494" t="s">
        <v>174</v>
      </c>
    </row>
    <row r="495" spans="3:5" x14ac:dyDescent="0.25">
      <c r="E495" t="s">
        <v>179</v>
      </c>
    </row>
    <row r="496" spans="3:5" x14ac:dyDescent="0.25">
      <c r="E496" t="s">
        <v>180</v>
      </c>
    </row>
    <row r="497" spans="4:5" x14ac:dyDescent="0.25">
      <c r="E497" t="s">
        <v>235</v>
      </c>
    </row>
    <row r="498" spans="4:5" x14ac:dyDescent="0.25">
      <c r="E498" t="s">
        <v>229</v>
      </c>
    </row>
    <row r="499" spans="4:5" x14ac:dyDescent="0.25">
      <c r="D499" t="s">
        <v>73</v>
      </c>
    </row>
    <row r="500" spans="4:5" x14ac:dyDescent="0.25">
      <c r="D500" t="s">
        <v>71</v>
      </c>
    </row>
    <row r="501" spans="4:5" x14ac:dyDescent="0.25">
      <c r="E501" t="s">
        <v>173</v>
      </c>
    </row>
    <row r="502" spans="4:5" x14ac:dyDescent="0.25">
      <c r="E502" t="s">
        <v>179</v>
      </c>
    </row>
    <row r="503" spans="4:5" x14ac:dyDescent="0.25">
      <c r="E503" t="s">
        <v>180</v>
      </c>
    </row>
    <row r="504" spans="4:5" x14ac:dyDescent="0.25">
      <c r="E504" t="s">
        <v>236</v>
      </c>
    </row>
    <row r="505" spans="4:5" x14ac:dyDescent="0.25">
      <c r="E505" t="s">
        <v>237</v>
      </c>
    </row>
    <row r="506" spans="4:5" x14ac:dyDescent="0.25">
      <c r="D506" t="s">
        <v>73</v>
      </c>
    </row>
    <row r="507" spans="4:5" x14ac:dyDescent="0.25">
      <c r="D507" t="s">
        <v>71</v>
      </c>
    </row>
    <row r="508" spans="4:5" x14ac:dyDescent="0.25">
      <c r="E508" t="s">
        <v>81</v>
      </c>
    </row>
    <row r="509" spans="4:5" x14ac:dyDescent="0.25">
      <c r="E509" t="s">
        <v>179</v>
      </c>
    </row>
    <row r="510" spans="4:5" x14ac:dyDescent="0.25">
      <c r="E510" t="s">
        <v>180</v>
      </c>
    </row>
    <row r="511" spans="4:5" x14ac:dyDescent="0.25">
      <c r="E511" t="s">
        <v>238</v>
      </c>
    </row>
    <row r="512" spans="4:5" x14ac:dyDescent="0.25">
      <c r="E512" t="s">
        <v>239</v>
      </c>
    </row>
    <row r="513" spans="4:5" x14ac:dyDescent="0.25">
      <c r="D513" t="s">
        <v>73</v>
      </c>
    </row>
    <row r="514" spans="4:5" x14ac:dyDescent="0.25">
      <c r="D514" t="s">
        <v>71</v>
      </c>
    </row>
    <row r="515" spans="4:5" x14ac:dyDescent="0.25">
      <c r="E515" t="s">
        <v>80</v>
      </c>
    </row>
    <row r="516" spans="4:5" x14ac:dyDescent="0.25">
      <c r="E516" t="s">
        <v>179</v>
      </c>
    </row>
    <row r="517" spans="4:5" x14ac:dyDescent="0.25">
      <c r="E517" t="s">
        <v>180</v>
      </c>
    </row>
    <row r="518" spans="4:5" x14ac:dyDescent="0.25">
      <c r="E518" t="s">
        <v>240</v>
      </c>
    </row>
    <row r="519" spans="4:5" x14ac:dyDescent="0.25">
      <c r="E519" t="s">
        <v>241</v>
      </c>
    </row>
    <row r="520" spans="4:5" x14ac:dyDescent="0.25">
      <c r="D520" t="s">
        <v>73</v>
      </c>
    </row>
    <row r="521" spans="4:5" x14ac:dyDescent="0.25">
      <c r="D521" t="s">
        <v>71</v>
      </c>
    </row>
    <row r="522" spans="4:5" x14ac:dyDescent="0.25">
      <c r="E522" t="s">
        <v>79</v>
      </c>
    </row>
    <row r="523" spans="4:5" x14ac:dyDescent="0.25">
      <c r="E523" t="s">
        <v>179</v>
      </c>
    </row>
    <row r="524" spans="4:5" x14ac:dyDescent="0.25">
      <c r="E524" t="s">
        <v>180</v>
      </c>
    </row>
    <row r="525" spans="4:5" x14ac:dyDescent="0.25">
      <c r="E525" t="s">
        <v>242</v>
      </c>
    </row>
    <row r="526" spans="4:5" x14ac:dyDescent="0.25">
      <c r="E526" t="s">
        <v>243</v>
      </c>
    </row>
    <row r="527" spans="4:5" x14ac:dyDescent="0.25">
      <c r="D527" t="s">
        <v>73</v>
      </c>
    </row>
    <row r="528" spans="4:5" x14ac:dyDescent="0.25">
      <c r="D528" t="s">
        <v>71</v>
      </c>
    </row>
    <row r="529" spans="2:5" x14ac:dyDescent="0.25">
      <c r="E529" t="s">
        <v>78</v>
      </c>
    </row>
    <row r="530" spans="2:5" x14ac:dyDescent="0.25">
      <c r="E530" t="s">
        <v>179</v>
      </c>
    </row>
    <row r="531" spans="2:5" x14ac:dyDescent="0.25">
      <c r="E531" t="s">
        <v>180</v>
      </c>
    </row>
    <row r="532" spans="2:5" x14ac:dyDescent="0.25">
      <c r="E532" t="s">
        <v>244</v>
      </c>
    </row>
    <row r="533" spans="2:5" x14ac:dyDescent="0.25">
      <c r="E533" t="s">
        <v>245</v>
      </c>
    </row>
    <row r="534" spans="2:5" x14ac:dyDescent="0.25">
      <c r="D534" t="s">
        <v>73</v>
      </c>
    </row>
    <row r="535" spans="2:5" x14ac:dyDescent="0.25">
      <c r="D535" t="s">
        <v>71</v>
      </c>
    </row>
    <row r="536" spans="2:5" x14ac:dyDescent="0.25">
      <c r="E536" t="s">
        <v>77</v>
      </c>
    </row>
    <row r="537" spans="2:5" x14ac:dyDescent="0.25">
      <c r="E537" t="s">
        <v>179</v>
      </c>
    </row>
    <row r="538" spans="2:5" x14ac:dyDescent="0.25">
      <c r="E538" t="s">
        <v>180</v>
      </c>
    </row>
    <row r="539" spans="2:5" x14ac:dyDescent="0.25">
      <c r="E539" t="s">
        <v>246</v>
      </c>
    </row>
    <row r="540" spans="2:5" x14ac:dyDescent="0.25">
      <c r="E540" t="s">
        <v>247</v>
      </c>
    </row>
    <row r="541" spans="2:5" x14ac:dyDescent="0.25">
      <c r="D541" t="s">
        <v>73</v>
      </c>
    </row>
    <row r="542" spans="2:5" x14ac:dyDescent="0.25">
      <c r="C542" t="s">
        <v>177</v>
      </c>
    </row>
    <row r="543" spans="2:5" x14ac:dyDescent="0.25">
      <c r="B543" t="s">
        <v>248</v>
      </c>
    </row>
    <row r="544" spans="2:5" x14ac:dyDescent="0.25">
      <c r="B544" t="s">
        <v>67</v>
      </c>
    </row>
    <row r="545" spans="3:5" x14ac:dyDescent="0.25">
      <c r="C545" t="s">
        <v>249</v>
      </c>
    </row>
    <row r="546" spans="3:5" x14ac:dyDescent="0.25">
      <c r="C546" t="s">
        <v>69</v>
      </c>
    </row>
    <row r="547" spans="3:5" x14ac:dyDescent="0.25">
      <c r="D547" t="s">
        <v>70</v>
      </c>
    </row>
    <row r="548" spans="3:5" x14ac:dyDescent="0.25">
      <c r="D548" t="s">
        <v>71</v>
      </c>
    </row>
    <row r="549" spans="3:5" x14ac:dyDescent="0.25">
      <c r="E549" t="s">
        <v>176</v>
      </c>
    </row>
    <row r="550" spans="3:5" x14ac:dyDescent="0.25">
      <c r="E550" t="s">
        <v>179</v>
      </c>
    </row>
    <row r="551" spans="3:5" x14ac:dyDescent="0.25">
      <c r="E551" t="s">
        <v>180</v>
      </c>
    </row>
    <row r="552" spans="3:5" x14ac:dyDescent="0.25">
      <c r="E552" t="s">
        <v>250</v>
      </c>
    </row>
    <row r="553" spans="3:5" x14ac:dyDescent="0.25">
      <c r="E553" t="s">
        <v>171</v>
      </c>
    </row>
    <row r="554" spans="3:5" x14ac:dyDescent="0.25">
      <c r="D554" t="s">
        <v>73</v>
      </c>
    </row>
    <row r="555" spans="3:5" x14ac:dyDescent="0.25">
      <c r="D555" t="s">
        <v>71</v>
      </c>
    </row>
    <row r="556" spans="3:5" x14ac:dyDescent="0.25">
      <c r="E556" t="s">
        <v>175</v>
      </c>
    </row>
    <row r="557" spans="3:5" x14ac:dyDescent="0.25">
      <c r="E557" t="s">
        <v>179</v>
      </c>
    </row>
    <row r="558" spans="3:5" x14ac:dyDescent="0.25">
      <c r="E558" t="s">
        <v>180</v>
      </c>
    </row>
    <row r="559" spans="3:5" x14ac:dyDescent="0.25">
      <c r="E559" t="s">
        <v>251</v>
      </c>
    </row>
    <row r="560" spans="3:5" x14ac:dyDescent="0.25">
      <c r="E560" t="s">
        <v>171</v>
      </c>
    </row>
    <row r="561" spans="4:5" x14ac:dyDescent="0.25">
      <c r="D561" t="s">
        <v>73</v>
      </c>
    </row>
    <row r="562" spans="4:5" x14ac:dyDescent="0.25">
      <c r="D562" t="s">
        <v>71</v>
      </c>
    </row>
    <row r="563" spans="4:5" x14ac:dyDescent="0.25">
      <c r="E563" t="s">
        <v>174</v>
      </c>
    </row>
    <row r="564" spans="4:5" x14ac:dyDescent="0.25">
      <c r="E564" t="s">
        <v>179</v>
      </c>
    </row>
    <row r="565" spans="4:5" x14ac:dyDescent="0.25">
      <c r="E565" t="s">
        <v>180</v>
      </c>
    </row>
    <row r="566" spans="4:5" x14ac:dyDescent="0.25">
      <c r="E566" t="s">
        <v>252</v>
      </c>
    </row>
    <row r="567" spans="4:5" x14ac:dyDescent="0.25">
      <c r="E567" t="s">
        <v>171</v>
      </c>
    </row>
    <row r="568" spans="4:5" x14ac:dyDescent="0.25">
      <c r="D568" t="s">
        <v>73</v>
      </c>
    </row>
    <row r="569" spans="4:5" x14ac:dyDescent="0.25">
      <c r="D569" t="s">
        <v>71</v>
      </c>
    </row>
    <row r="570" spans="4:5" x14ac:dyDescent="0.25">
      <c r="E570" t="s">
        <v>173</v>
      </c>
    </row>
    <row r="571" spans="4:5" x14ac:dyDescent="0.25">
      <c r="E571" t="s">
        <v>179</v>
      </c>
    </row>
    <row r="572" spans="4:5" x14ac:dyDescent="0.25">
      <c r="E572" t="s">
        <v>180</v>
      </c>
    </row>
    <row r="573" spans="4:5" x14ac:dyDescent="0.25">
      <c r="E573" t="s">
        <v>253</v>
      </c>
    </row>
    <row r="574" spans="4:5" x14ac:dyDescent="0.25">
      <c r="E574" t="s">
        <v>254</v>
      </c>
    </row>
    <row r="575" spans="4:5" x14ac:dyDescent="0.25">
      <c r="D575" t="s">
        <v>73</v>
      </c>
    </row>
    <row r="576" spans="4:5" x14ac:dyDescent="0.25">
      <c r="D576" t="s">
        <v>71</v>
      </c>
    </row>
    <row r="577" spans="4:5" x14ac:dyDescent="0.25">
      <c r="E577" t="s">
        <v>82</v>
      </c>
    </row>
    <row r="578" spans="4:5" x14ac:dyDescent="0.25">
      <c r="E578" t="s">
        <v>179</v>
      </c>
    </row>
    <row r="579" spans="4:5" x14ac:dyDescent="0.25">
      <c r="E579" t="s">
        <v>180</v>
      </c>
    </row>
    <row r="580" spans="4:5" x14ac:dyDescent="0.25">
      <c r="E580" t="s">
        <v>255</v>
      </c>
    </row>
    <row r="581" spans="4:5" x14ac:dyDescent="0.25">
      <c r="E581" t="s">
        <v>202</v>
      </c>
    </row>
    <row r="582" spans="4:5" x14ac:dyDescent="0.25">
      <c r="D582" t="s">
        <v>73</v>
      </c>
    </row>
    <row r="583" spans="4:5" x14ac:dyDescent="0.25">
      <c r="D583" t="s">
        <v>71</v>
      </c>
    </row>
    <row r="584" spans="4:5" x14ac:dyDescent="0.25">
      <c r="E584" t="s">
        <v>81</v>
      </c>
    </row>
    <row r="585" spans="4:5" x14ac:dyDescent="0.25">
      <c r="E585" t="s">
        <v>179</v>
      </c>
    </row>
    <row r="586" spans="4:5" x14ac:dyDescent="0.25">
      <c r="E586" t="s">
        <v>180</v>
      </c>
    </row>
    <row r="587" spans="4:5" x14ac:dyDescent="0.25">
      <c r="E587" t="s">
        <v>256</v>
      </c>
    </row>
    <row r="588" spans="4:5" x14ac:dyDescent="0.25">
      <c r="E588" t="s">
        <v>202</v>
      </c>
    </row>
    <row r="589" spans="4:5" x14ac:dyDescent="0.25">
      <c r="D589" t="s">
        <v>73</v>
      </c>
    </row>
    <row r="590" spans="4:5" x14ac:dyDescent="0.25">
      <c r="D590" t="s">
        <v>71</v>
      </c>
    </row>
    <row r="591" spans="4:5" x14ac:dyDescent="0.25">
      <c r="E591" t="s">
        <v>80</v>
      </c>
    </row>
    <row r="592" spans="4:5" x14ac:dyDescent="0.25">
      <c r="E592" t="s">
        <v>179</v>
      </c>
    </row>
    <row r="593" spans="4:5" x14ac:dyDescent="0.25">
      <c r="E593" t="s">
        <v>180</v>
      </c>
    </row>
    <row r="594" spans="4:5" x14ac:dyDescent="0.25">
      <c r="E594" t="s">
        <v>257</v>
      </c>
    </row>
    <row r="595" spans="4:5" x14ac:dyDescent="0.25">
      <c r="E595" t="s">
        <v>258</v>
      </c>
    </row>
    <row r="596" spans="4:5" x14ac:dyDescent="0.25">
      <c r="D596" t="s">
        <v>73</v>
      </c>
    </row>
    <row r="597" spans="4:5" x14ac:dyDescent="0.25">
      <c r="D597" t="s">
        <v>71</v>
      </c>
    </row>
    <row r="598" spans="4:5" x14ac:dyDescent="0.25">
      <c r="E598" t="s">
        <v>79</v>
      </c>
    </row>
    <row r="599" spans="4:5" x14ac:dyDescent="0.25">
      <c r="E599" t="s">
        <v>179</v>
      </c>
    </row>
    <row r="600" spans="4:5" x14ac:dyDescent="0.25">
      <c r="E600" t="s">
        <v>180</v>
      </c>
    </row>
    <row r="601" spans="4:5" x14ac:dyDescent="0.25">
      <c r="E601" t="s">
        <v>259</v>
      </c>
    </row>
    <row r="602" spans="4:5" x14ac:dyDescent="0.25">
      <c r="E602" t="s">
        <v>260</v>
      </c>
    </row>
    <row r="603" spans="4:5" x14ac:dyDescent="0.25">
      <c r="D603" t="s">
        <v>73</v>
      </c>
    </row>
    <row r="604" spans="4:5" x14ac:dyDescent="0.25">
      <c r="D604" t="s">
        <v>71</v>
      </c>
    </row>
    <row r="605" spans="4:5" x14ac:dyDescent="0.25">
      <c r="E605" t="s">
        <v>78</v>
      </c>
    </row>
    <row r="606" spans="4:5" x14ac:dyDescent="0.25">
      <c r="E606" t="s">
        <v>179</v>
      </c>
    </row>
    <row r="607" spans="4:5" x14ac:dyDescent="0.25">
      <c r="E607" t="s">
        <v>180</v>
      </c>
    </row>
    <row r="608" spans="4:5" x14ac:dyDescent="0.25">
      <c r="E608" t="s">
        <v>261</v>
      </c>
    </row>
    <row r="609" spans="4:5" x14ac:dyDescent="0.25">
      <c r="E609" t="s">
        <v>262</v>
      </c>
    </row>
    <row r="610" spans="4:5" x14ac:dyDescent="0.25">
      <c r="D610" t="s">
        <v>73</v>
      </c>
    </row>
    <row r="611" spans="4:5" x14ac:dyDescent="0.25">
      <c r="D611" t="s">
        <v>71</v>
      </c>
    </row>
    <row r="612" spans="4:5" x14ac:dyDescent="0.25">
      <c r="E612" t="s">
        <v>77</v>
      </c>
    </row>
    <row r="613" spans="4:5" x14ac:dyDescent="0.25">
      <c r="E613" t="s">
        <v>179</v>
      </c>
    </row>
    <row r="614" spans="4:5" x14ac:dyDescent="0.25">
      <c r="E614" t="s">
        <v>180</v>
      </c>
    </row>
    <row r="615" spans="4:5" x14ac:dyDescent="0.25">
      <c r="E615" t="s">
        <v>263</v>
      </c>
    </row>
    <row r="616" spans="4:5" x14ac:dyDescent="0.25">
      <c r="E616" t="s">
        <v>264</v>
      </c>
    </row>
    <row r="617" spans="4:5" x14ac:dyDescent="0.25">
      <c r="D617" t="s">
        <v>73</v>
      </c>
    </row>
    <row r="618" spans="4:5" x14ac:dyDescent="0.25">
      <c r="D618" t="s">
        <v>71</v>
      </c>
    </row>
    <row r="619" spans="4:5" x14ac:dyDescent="0.25">
      <c r="E619" t="s">
        <v>76</v>
      </c>
    </row>
    <row r="620" spans="4:5" x14ac:dyDescent="0.25">
      <c r="E620" t="s">
        <v>179</v>
      </c>
    </row>
    <row r="621" spans="4:5" x14ac:dyDescent="0.25">
      <c r="E621" t="s">
        <v>180</v>
      </c>
    </row>
    <row r="622" spans="4:5" x14ac:dyDescent="0.25">
      <c r="E622" t="s">
        <v>265</v>
      </c>
    </row>
    <row r="623" spans="4:5" x14ac:dyDescent="0.25">
      <c r="E623" t="s">
        <v>266</v>
      </c>
    </row>
    <row r="624" spans="4:5" x14ac:dyDescent="0.25">
      <c r="D624" t="s">
        <v>73</v>
      </c>
    </row>
    <row r="625" spans="4:5" x14ac:dyDescent="0.25">
      <c r="D625" t="s">
        <v>71</v>
      </c>
    </row>
    <row r="626" spans="4:5" x14ac:dyDescent="0.25">
      <c r="E626" t="s">
        <v>75</v>
      </c>
    </row>
    <row r="627" spans="4:5" x14ac:dyDescent="0.25">
      <c r="E627" t="s">
        <v>179</v>
      </c>
    </row>
    <row r="628" spans="4:5" x14ac:dyDescent="0.25">
      <c r="E628" t="s">
        <v>180</v>
      </c>
    </row>
    <row r="629" spans="4:5" x14ac:dyDescent="0.25">
      <c r="E629" t="s">
        <v>267</v>
      </c>
    </row>
    <row r="630" spans="4:5" x14ac:dyDescent="0.25">
      <c r="E630" t="s">
        <v>268</v>
      </c>
    </row>
    <row r="631" spans="4:5" x14ac:dyDescent="0.25">
      <c r="D631" t="s">
        <v>73</v>
      </c>
    </row>
    <row r="632" spans="4:5" x14ac:dyDescent="0.25">
      <c r="D632" t="s">
        <v>71</v>
      </c>
    </row>
    <row r="633" spans="4:5" x14ac:dyDescent="0.25">
      <c r="E633" t="s">
        <v>74</v>
      </c>
    </row>
    <row r="634" spans="4:5" x14ac:dyDescent="0.25">
      <c r="E634" t="s">
        <v>179</v>
      </c>
    </row>
    <row r="635" spans="4:5" x14ac:dyDescent="0.25">
      <c r="E635" t="s">
        <v>180</v>
      </c>
    </row>
    <row r="636" spans="4:5" x14ac:dyDescent="0.25">
      <c r="E636" t="s">
        <v>269</v>
      </c>
    </row>
    <row r="637" spans="4:5" x14ac:dyDescent="0.25">
      <c r="E637" t="s">
        <v>270</v>
      </c>
    </row>
    <row r="638" spans="4:5" x14ac:dyDescent="0.25">
      <c r="D638" t="s">
        <v>73</v>
      </c>
    </row>
    <row r="639" spans="4:5" x14ac:dyDescent="0.25">
      <c r="D639" t="s">
        <v>71</v>
      </c>
    </row>
    <row r="640" spans="4:5" x14ac:dyDescent="0.25">
      <c r="E640" t="s">
        <v>72</v>
      </c>
    </row>
    <row r="641" spans="3:5" x14ac:dyDescent="0.25">
      <c r="E641" t="s">
        <v>179</v>
      </c>
    </row>
    <row r="642" spans="3:5" x14ac:dyDescent="0.25">
      <c r="E642" t="s">
        <v>180</v>
      </c>
    </row>
    <row r="643" spans="3:5" x14ac:dyDescent="0.25">
      <c r="E643" t="s">
        <v>271</v>
      </c>
    </row>
    <row r="644" spans="3:5" x14ac:dyDescent="0.25">
      <c r="E644" t="s">
        <v>272</v>
      </c>
    </row>
    <row r="645" spans="3:5" x14ac:dyDescent="0.25">
      <c r="D645" t="s">
        <v>73</v>
      </c>
    </row>
    <row r="646" spans="3:5" x14ac:dyDescent="0.25">
      <c r="C646" t="s">
        <v>177</v>
      </c>
    </row>
    <row r="647" spans="3:5" x14ac:dyDescent="0.25">
      <c r="C647" t="s">
        <v>69</v>
      </c>
    </row>
    <row r="648" spans="3:5" x14ac:dyDescent="0.25">
      <c r="D648" t="s">
        <v>178</v>
      </c>
    </row>
    <row r="649" spans="3:5" x14ac:dyDescent="0.25">
      <c r="D649" t="s">
        <v>71</v>
      </c>
    </row>
    <row r="650" spans="3:5" x14ac:dyDescent="0.25">
      <c r="E650" t="s">
        <v>175</v>
      </c>
    </row>
    <row r="651" spans="3:5" x14ac:dyDescent="0.25">
      <c r="E651" t="s">
        <v>179</v>
      </c>
    </row>
    <row r="652" spans="3:5" x14ac:dyDescent="0.25">
      <c r="E652" t="s">
        <v>180</v>
      </c>
    </row>
    <row r="653" spans="3:5" x14ac:dyDescent="0.25">
      <c r="E653" t="s">
        <v>273</v>
      </c>
    </row>
    <row r="654" spans="3:5" x14ac:dyDescent="0.25">
      <c r="E654" t="s">
        <v>171</v>
      </c>
    </row>
    <row r="655" spans="3:5" x14ac:dyDescent="0.25">
      <c r="D655" t="s">
        <v>73</v>
      </c>
    </row>
    <row r="656" spans="3:5" x14ac:dyDescent="0.25">
      <c r="D656" t="s">
        <v>71</v>
      </c>
    </row>
    <row r="657" spans="4:5" x14ac:dyDescent="0.25">
      <c r="E657" t="s">
        <v>174</v>
      </c>
    </row>
    <row r="658" spans="4:5" x14ac:dyDescent="0.25">
      <c r="E658" t="s">
        <v>179</v>
      </c>
    </row>
    <row r="659" spans="4:5" x14ac:dyDescent="0.25">
      <c r="E659" t="s">
        <v>180</v>
      </c>
    </row>
    <row r="660" spans="4:5" x14ac:dyDescent="0.25">
      <c r="E660" t="s">
        <v>274</v>
      </c>
    </row>
    <row r="661" spans="4:5" x14ac:dyDescent="0.25">
      <c r="E661" t="s">
        <v>275</v>
      </c>
    </row>
    <row r="662" spans="4:5" x14ac:dyDescent="0.25">
      <c r="D662" t="s">
        <v>73</v>
      </c>
    </row>
    <row r="663" spans="4:5" x14ac:dyDescent="0.25">
      <c r="D663" t="s">
        <v>71</v>
      </c>
    </row>
    <row r="664" spans="4:5" x14ac:dyDescent="0.25">
      <c r="E664" t="s">
        <v>173</v>
      </c>
    </row>
    <row r="665" spans="4:5" x14ac:dyDescent="0.25">
      <c r="E665" t="s">
        <v>179</v>
      </c>
    </row>
    <row r="666" spans="4:5" x14ac:dyDescent="0.25">
      <c r="E666" t="s">
        <v>180</v>
      </c>
    </row>
    <row r="667" spans="4:5" x14ac:dyDescent="0.25">
      <c r="E667" t="s">
        <v>276</v>
      </c>
    </row>
    <row r="668" spans="4:5" x14ac:dyDescent="0.25">
      <c r="E668" t="s">
        <v>277</v>
      </c>
    </row>
    <row r="669" spans="4:5" x14ac:dyDescent="0.25">
      <c r="D669" t="s">
        <v>73</v>
      </c>
    </row>
    <row r="670" spans="4:5" x14ac:dyDescent="0.25">
      <c r="D670" t="s">
        <v>71</v>
      </c>
    </row>
    <row r="671" spans="4:5" x14ac:dyDescent="0.25">
      <c r="E671" t="s">
        <v>81</v>
      </c>
    </row>
    <row r="672" spans="4:5" x14ac:dyDescent="0.25">
      <c r="E672" t="s">
        <v>179</v>
      </c>
    </row>
    <row r="673" spans="4:5" x14ac:dyDescent="0.25">
      <c r="E673" t="s">
        <v>180</v>
      </c>
    </row>
    <row r="674" spans="4:5" x14ac:dyDescent="0.25">
      <c r="E674" t="s">
        <v>278</v>
      </c>
    </row>
    <row r="675" spans="4:5" x14ac:dyDescent="0.25">
      <c r="E675" t="s">
        <v>279</v>
      </c>
    </row>
    <row r="676" spans="4:5" x14ac:dyDescent="0.25">
      <c r="D676" t="s">
        <v>73</v>
      </c>
    </row>
    <row r="677" spans="4:5" x14ac:dyDescent="0.25">
      <c r="D677" t="s">
        <v>71</v>
      </c>
    </row>
    <row r="678" spans="4:5" x14ac:dyDescent="0.25">
      <c r="E678" t="s">
        <v>80</v>
      </c>
    </row>
    <row r="679" spans="4:5" x14ac:dyDescent="0.25">
      <c r="E679" t="s">
        <v>179</v>
      </c>
    </row>
    <row r="680" spans="4:5" x14ac:dyDescent="0.25">
      <c r="E680" t="s">
        <v>180</v>
      </c>
    </row>
    <row r="681" spans="4:5" x14ac:dyDescent="0.25">
      <c r="E681" t="s">
        <v>280</v>
      </c>
    </row>
    <row r="682" spans="4:5" x14ac:dyDescent="0.25">
      <c r="E682" t="s">
        <v>281</v>
      </c>
    </row>
    <row r="683" spans="4:5" x14ac:dyDescent="0.25">
      <c r="D683" t="s">
        <v>73</v>
      </c>
    </row>
    <row r="684" spans="4:5" x14ac:dyDescent="0.25">
      <c r="D684" t="s">
        <v>71</v>
      </c>
    </row>
    <row r="685" spans="4:5" x14ac:dyDescent="0.25">
      <c r="E685" t="s">
        <v>79</v>
      </c>
    </row>
    <row r="686" spans="4:5" x14ac:dyDescent="0.25">
      <c r="E686" t="s">
        <v>179</v>
      </c>
    </row>
    <row r="687" spans="4:5" x14ac:dyDescent="0.25">
      <c r="E687" t="s">
        <v>180</v>
      </c>
    </row>
    <row r="688" spans="4:5" x14ac:dyDescent="0.25">
      <c r="E688" t="s">
        <v>282</v>
      </c>
    </row>
    <row r="689" spans="4:5" x14ac:dyDescent="0.25">
      <c r="E689" t="s">
        <v>283</v>
      </c>
    </row>
    <row r="690" spans="4:5" x14ac:dyDescent="0.25">
      <c r="D690" t="s">
        <v>73</v>
      </c>
    </row>
    <row r="691" spans="4:5" x14ac:dyDescent="0.25">
      <c r="D691" t="s">
        <v>71</v>
      </c>
    </row>
    <row r="692" spans="4:5" x14ac:dyDescent="0.25">
      <c r="E692" t="s">
        <v>78</v>
      </c>
    </row>
    <row r="693" spans="4:5" x14ac:dyDescent="0.25">
      <c r="E693" t="s">
        <v>179</v>
      </c>
    </row>
    <row r="694" spans="4:5" x14ac:dyDescent="0.25">
      <c r="E694" t="s">
        <v>180</v>
      </c>
    </row>
    <row r="695" spans="4:5" x14ac:dyDescent="0.25">
      <c r="E695" t="s">
        <v>284</v>
      </c>
    </row>
    <row r="696" spans="4:5" x14ac:dyDescent="0.25">
      <c r="E696" t="s">
        <v>285</v>
      </c>
    </row>
    <row r="697" spans="4:5" x14ac:dyDescent="0.25">
      <c r="D697" t="s">
        <v>73</v>
      </c>
    </row>
    <row r="698" spans="4:5" x14ac:dyDescent="0.25">
      <c r="D698" t="s">
        <v>71</v>
      </c>
    </row>
    <row r="699" spans="4:5" x14ac:dyDescent="0.25">
      <c r="E699" t="s">
        <v>77</v>
      </c>
    </row>
    <row r="700" spans="4:5" x14ac:dyDescent="0.25">
      <c r="E700" t="s">
        <v>179</v>
      </c>
    </row>
    <row r="701" spans="4:5" x14ac:dyDescent="0.25">
      <c r="E701" t="s">
        <v>180</v>
      </c>
    </row>
    <row r="702" spans="4:5" x14ac:dyDescent="0.25">
      <c r="E702" t="s">
        <v>286</v>
      </c>
    </row>
    <row r="703" spans="4:5" x14ac:dyDescent="0.25">
      <c r="E703" t="s">
        <v>287</v>
      </c>
    </row>
    <row r="704" spans="4:5" x14ac:dyDescent="0.25">
      <c r="D704" t="s">
        <v>73</v>
      </c>
    </row>
    <row r="705" spans="4:5" x14ac:dyDescent="0.25">
      <c r="D705" t="s">
        <v>71</v>
      </c>
    </row>
    <row r="706" spans="4:5" x14ac:dyDescent="0.25">
      <c r="E706" t="s">
        <v>76</v>
      </c>
    </row>
    <row r="707" spans="4:5" x14ac:dyDescent="0.25">
      <c r="E707" t="s">
        <v>179</v>
      </c>
    </row>
    <row r="708" spans="4:5" x14ac:dyDescent="0.25">
      <c r="E708" t="s">
        <v>180</v>
      </c>
    </row>
    <row r="709" spans="4:5" x14ac:dyDescent="0.25">
      <c r="E709" t="s">
        <v>288</v>
      </c>
    </row>
    <row r="710" spans="4:5" x14ac:dyDescent="0.25">
      <c r="E710" t="s">
        <v>283</v>
      </c>
    </row>
    <row r="711" spans="4:5" x14ac:dyDescent="0.25">
      <c r="D711" t="s">
        <v>73</v>
      </c>
    </row>
    <row r="712" spans="4:5" x14ac:dyDescent="0.25">
      <c r="D712" t="s">
        <v>71</v>
      </c>
    </row>
    <row r="713" spans="4:5" x14ac:dyDescent="0.25">
      <c r="E713" t="s">
        <v>75</v>
      </c>
    </row>
    <row r="714" spans="4:5" x14ac:dyDescent="0.25">
      <c r="E714" t="s">
        <v>179</v>
      </c>
    </row>
    <row r="715" spans="4:5" x14ac:dyDescent="0.25">
      <c r="E715" t="s">
        <v>180</v>
      </c>
    </row>
    <row r="716" spans="4:5" x14ac:dyDescent="0.25">
      <c r="E716" t="s">
        <v>289</v>
      </c>
    </row>
    <row r="717" spans="4:5" x14ac:dyDescent="0.25">
      <c r="E717" t="s">
        <v>285</v>
      </c>
    </row>
    <row r="718" spans="4:5" x14ac:dyDescent="0.25">
      <c r="D718" t="s">
        <v>73</v>
      </c>
    </row>
    <row r="719" spans="4:5" x14ac:dyDescent="0.25">
      <c r="D719" t="s">
        <v>71</v>
      </c>
    </row>
    <row r="720" spans="4:5" x14ac:dyDescent="0.25">
      <c r="E720" t="s">
        <v>74</v>
      </c>
    </row>
    <row r="721" spans="3:5" x14ac:dyDescent="0.25">
      <c r="E721" t="s">
        <v>179</v>
      </c>
    </row>
    <row r="722" spans="3:5" x14ac:dyDescent="0.25">
      <c r="E722" t="s">
        <v>180</v>
      </c>
    </row>
    <row r="723" spans="3:5" x14ac:dyDescent="0.25">
      <c r="E723" t="s">
        <v>290</v>
      </c>
    </row>
    <row r="724" spans="3:5" x14ac:dyDescent="0.25">
      <c r="E724" t="s">
        <v>285</v>
      </c>
    </row>
    <row r="725" spans="3:5" x14ac:dyDescent="0.25">
      <c r="D725" t="s">
        <v>73</v>
      </c>
    </row>
    <row r="726" spans="3:5" x14ac:dyDescent="0.25">
      <c r="D726" t="s">
        <v>71</v>
      </c>
    </row>
    <row r="727" spans="3:5" x14ac:dyDescent="0.25">
      <c r="E727" t="s">
        <v>72</v>
      </c>
    </row>
    <row r="728" spans="3:5" x14ac:dyDescent="0.25">
      <c r="E728" t="s">
        <v>179</v>
      </c>
    </row>
    <row r="729" spans="3:5" x14ac:dyDescent="0.25">
      <c r="E729" t="s">
        <v>180</v>
      </c>
    </row>
    <row r="730" spans="3:5" x14ac:dyDescent="0.25">
      <c r="E730" t="s">
        <v>271</v>
      </c>
    </row>
    <row r="731" spans="3:5" x14ac:dyDescent="0.25">
      <c r="E731" t="s">
        <v>272</v>
      </c>
    </row>
    <row r="732" spans="3:5" x14ac:dyDescent="0.25">
      <c r="D732" t="s">
        <v>73</v>
      </c>
    </row>
    <row r="733" spans="3:5" x14ac:dyDescent="0.25">
      <c r="C733" t="s">
        <v>177</v>
      </c>
    </row>
    <row r="734" spans="3:5" x14ac:dyDescent="0.25">
      <c r="C734" t="s">
        <v>69</v>
      </c>
    </row>
    <row r="735" spans="3:5" x14ac:dyDescent="0.25">
      <c r="D735" t="s">
        <v>188</v>
      </c>
    </row>
    <row r="736" spans="3:5" x14ac:dyDescent="0.25">
      <c r="D736" t="s">
        <v>71</v>
      </c>
    </row>
    <row r="737" spans="4:5" x14ac:dyDescent="0.25">
      <c r="E737" t="s">
        <v>175</v>
      </c>
    </row>
    <row r="738" spans="4:5" x14ac:dyDescent="0.25">
      <c r="E738" t="s">
        <v>179</v>
      </c>
    </row>
    <row r="739" spans="4:5" x14ac:dyDescent="0.25">
      <c r="E739" t="s">
        <v>180</v>
      </c>
    </row>
    <row r="740" spans="4:5" x14ac:dyDescent="0.25">
      <c r="E740" t="s">
        <v>291</v>
      </c>
    </row>
    <row r="741" spans="4:5" x14ac:dyDescent="0.25">
      <c r="E741" t="s">
        <v>292</v>
      </c>
    </row>
    <row r="742" spans="4:5" x14ac:dyDescent="0.25">
      <c r="D742" t="s">
        <v>73</v>
      </c>
    </row>
    <row r="743" spans="4:5" x14ac:dyDescent="0.25">
      <c r="D743" t="s">
        <v>71</v>
      </c>
    </row>
    <row r="744" spans="4:5" x14ac:dyDescent="0.25">
      <c r="E744" t="s">
        <v>174</v>
      </c>
    </row>
    <row r="745" spans="4:5" x14ac:dyDescent="0.25">
      <c r="E745" t="s">
        <v>179</v>
      </c>
    </row>
    <row r="746" spans="4:5" x14ac:dyDescent="0.25">
      <c r="E746" t="s">
        <v>180</v>
      </c>
    </row>
    <row r="747" spans="4:5" x14ac:dyDescent="0.25">
      <c r="E747" t="s">
        <v>293</v>
      </c>
    </row>
    <row r="748" spans="4:5" x14ac:dyDescent="0.25">
      <c r="E748" t="s">
        <v>294</v>
      </c>
    </row>
    <row r="749" spans="4:5" x14ac:dyDescent="0.25">
      <c r="D749" t="s">
        <v>73</v>
      </c>
    </row>
    <row r="750" spans="4:5" x14ac:dyDescent="0.25">
      <c r="D750" t="s">
        <v>71</v>
      </c>
    </row>
    <row r="751" spans="4:5" x14ac:dyDescent="0.25">
      <c r="E751" t="s">
        <v>173</v>
      </c>
    </row>
    <row r="752" spans="4:5" x14ac:dyDescent="0.25">
      <c r="E752" t="s">
        <v>179</v>
      </c>
    </row>
    <row r="753" spans="4:5" x14ac:dyDescent="0.25">
      <c r="E753" t="s">
        <v>180</v>
      </c>
    </row>
    <row r="754" spans="4:5" x14ac:dyDescent="0.25">
      <c r="E754" t="s">
        <v>295</v>
      </c>
    </row>
    <row r="755" spans="4:5" x14ac:dyDescent="0.25">
      <c r="E755" t="s">
        <v>296</v>
      </c>
    </row>
    <row r="756" spans="4:5" x14ac:dyDescent="0.25">
      <c r="D756" t="s">
        <v>73</v>
      </c>
    </row>
    <row r="757" spans="4:5" x14ac:dyDescent="0.25">
      <c r="D757" t="s">
        <v>71</v>
      </c>
    </row>
    <row r="758" spans="4:5" x14ac:dyDescent="0.25">
      <c r="E758" t="s">
        <v>82</v>
      </c>
    </row>
    <row r="759" spans="4:5" x14ac:dyDescent="0.25">
      <c r="E759" t="s">
        <v>179</v>
      </c>
    </row>
    <row r="760" spans="4:5" x14ac:dyDescent="0.25">
      <c r="E760" t="s">
        <v>180</v>
      </c>
    </row>
    <row r="761" spans="4:5" x14ac:dyDescent="0.25">
      <c r="E761" t="s">
        <v>297</v>
      </c>
    </row>
    <row r="762" spans="4:5" x14ac:dyDescent="0.25">
      <c r="E762" t="s">
        <v>298</v>
      </c>
    </row>
    <row r="763" spans="4:5" x14ac:dyDescent="0.25">
      <c r="D763" t="s">
        <v>73</v>
      </c>
    </row>
    <row r="764" spans="4:5" x14ac:dyDescent="0.25">
      <c r="D764" t="s">
        <v>71</v>
      </c>
    </row>
    <row r="765" spans="4:5" x14ac:dyDescent="0.25">
      <c r="E765" t="s">
        <v>81</v>
      </c>
    </row>
    <row r="766" spans="4:5" x14ac:dyDescent="0.25">
      <c r="E766" t="s">
        <v>179</v>
      </c>
    </row>
    <row r="767" spans="4:5" x14ac:dyDescent="0.25">
      <c r="E767" t="s">
        <v>180</v>
      </c>
    </row>
    <row r="768" spans="4:5" x14ac:dyDescent="0.25">
      <c r="E768" t="s">
        <v>297</v>
      </c>
    </row>
    <row r="769" spans="4:5" x14ac:dyDescent="0.25">
      <c r="E769" t="s">
        <v>298</v>
      </c>
    </row>
    <row r="770" spans="4:5" x14ac:dyDescent="0.25">
      <c r="D770" t="s">
        <v>73</v>
      </c>
    </row>
    <row r="771" spans="4:5" x14ac:dyDescent="0.25">
      <c r="D771" t="s">
        <v>71</v>
      </c>
    </row>
    <row r="772" spans="4:5" x14ac:dyDescent="0.25">
      <c r="E772" t="s">
        <v>80</v>
      </c>
    </row>
    <row r="773" spans="4:5" x14ac:dyDescent="0.25">
      <c r="E773" t="s">
        <v>179</v>
      </c>
    </row>
    <row r="774" spans="4:5" x14ac:dyDescent="0.25">
      <c r="E774" t="s">
        <v>180</v>
      </c>
    </row>
    <row r="775" spans="4:5" x14ac:dyDescent="0.25">
      <c r="E775" t="s">
        <v>297</v>
      </c>
    </row>
    <row r="776" spans="4:5" x14ac:dyDescent="0.25">
      <c r="E776" t="s">
        <v>298</v>
      </c>
    </row>
    <row r="777" spans="4:5" x14ac:dyDescent="0.25">
      <c r="D777" t="s">
        <v>73</v>
      </c>
    </row>
    <row r="778" spans="4:5" x14ac:dyDescent="0.25">
      <c r="D778" t="s">
        <v>71</v>
      </c>
    </row>
    <row r="779" spans="4:5" x14ac:dyDescent="0.25">
      <c r="E779" t="s">
        <v>79</v>
      </c>
    </row>
    <row r="780" spans="4:5" x14ac:dyDescent="0.25">
      <c r="E780" t="s">
        <v>179</v>
      </c>
    </row>
    <row r="781" spans="4:5" x14ac:dyDescent="0.25">
      <c r="E781" t="s">
        <v>180</v>
      </c>
    </row>
    <row r="782" spans="4:5" x14ac:dyDescent="0.25">
      <c r="E782" t="s">
        <v>299</v>
      </c>
    </row>
    <row r="783" spans="4:5" x14ac:dyDescent="0.25">
      <c r="E783" t="s">
        <v>300</v>
      </c>
    </row>
    <row r="784" spans="4:5" x14ac:dyDescent="0.25">
      <c r="D784" t="s">
        <v>73</v>
      </c>
    </row>
    <row r="785" spans="4:5" x14ac:dyDescent="0.25">
      <c r="D785" t="s">
        <v>71</v>
      </c>
    </row>
    <row r="786" spans="4:5" x14ac:dyDescent="0.25">
      <c r="E786" t="s">
        <v>77</v>
      </c>
    </row>
    <row r="787" spans="4:5" x14ac:dyDescent="0.25">
      <c r="E787" t="s">
        <v>179</v>
      </c>
    </row>
    <row r="788" spans="4:5" x14ac:dyDescent="0.25">
      <c r="E788" t="s">
        <v>180</v>
      </c>
    </row>
    <row r="789" spans="4:5" x14ac:dyDescent="0.25">
      <c r="E789" t="s">
        <v>301</v>
      </c>
    </row>
    <row r="790" spans="4:5" x14ac:dyDescent="0.25">
      <c r="E790" t="s">
        <v>302</v>
      </c>
    </row>
    <row r="791" spans="4:5" x14ac:dyDescent="0.25">
      <c r="D791" t="s">
        <v>73</v>
      </c>
    </row>
    <row r="792" spans="4:5" x14ac:dyDescent="0.25">
      <c r="D792" t="s">
        <v>71</v>
      </c>
    </row>
    <row r="793" spans="4:5" x14ac:dyDescent="0.25">
      <c r="E793" t="s">
        <v>76</v>
      </c>
    </row>
    <row r="794" spans="4:5" x14ac:dyDescent="0.25">
      <c r="E794" t="s">
        <v>179</v>
      </c>
    </row>
    <row r="795" spans="4:5" x14ac:dyDescent="0.25">
      <c r="E795" t="s">
        <v>180</v>
      </c>
    </row>
    <row r="796" spans="4:5" x14ac:dyDescent="0.25">
      <c r="E796" t="s">
        <v>303</v>
      </c>
    </row>
    <row r="797" spans="4:5" x14ac:dyDescent="0.25">
      <c r="E797" t="s">
        <v>304</v>
      </c>
    </row>
    <row r="798" spans="4:5" x14ac:dyDescent="0.25">
      <c r="D798" t="s">
        <v>73</v>
      </c>
    </row>
    <row r="799" spans="4:5" x14ac:dyDescent="0.25">
      <c r="D799" t="s">
        <v>71</v>
      </c>
    </row>
    <row r="800" spans="4:5" x14ac:dyDescent="0.25">
      <c r="E800" t="s">
        <v>75</v>
      </c>
    </row>
    <row r="801" spans="4:5" x14ac:dyDescent="0.25">
      <c r="E801" t="s">
        <v>179</v>
      </c>
    </row>
    <row r="802" spans="4:5" x14ac:dyDescent="0.25">
      <c r="E802" t="s">
        <v>180</v>
      </c>
    </row>
    <row r="803" spans="4:5" x14ac:dyDescent="0.25">
      <c r="E803" t="s">
        <v>305</v>
      </c>
    </row>
    <row r="804" spans="4:5" x14ac:dyDescent="0.25">
      <c r="E804" t="s">
        <v>306</v>
      </c>
    </row>
    <row r="805" spans="4:5" x14ac:dyDescent="0.25">
      <c r="D805" t="s">
        <v>73</v>
      </c>
    </row>
    <row r="806" spans="4:5" x14ac:dyDescent="0.25">
      <c r="D806" t="s">
        <v>71</v>
      </c>
    </row>
    <row r="807" spans="4:5" x14ac:dyDescent="0.25">
      <c r="E807" t="s">
        <v>74</v>
      </c>
    </row>
    <row r="808" spans="4:5" x14ac:dyDescent="0.25">
      <c r="E808" t="s">
        <v>179</v>
      </c>
    </row>
    <row r="809" spans="4:5" x14ac:dyDescent="0.25">
      <c r="E809" t="s">
        <v>180</v>
      </c>
    </row>
    <row r="810" spans="4:5" x14ac:dyDescent="0.25">
      <c r="E810" t="s">
        <v>307</v>
      </c>
    </row>
    <row r="811" spans="4:5" x14ac:dyDescent="0.25">
      <c r="E811" t="s">
        <v>306</v>
      </c>
    </row>
    <row r="812" spans="4:5" x14ac:dyDescent="0.25">
      <c r="D812" t="s">
        <v>73</v>
      </c>
    </row>
    <row r="813" spans="4:5" x14ac:dyDescent="0.25">
      <c r="D813" t="s">
        <v>71</v>
      </c>
    </row>
    <row r="814" spans="4:5" x14ac:dyDescent="0.25">
      <c r="E814" t="s">
        <v>72</v>
      </c>
    </row>
    <row r="815" spans="4:5" x14ac:dyDescent="0.25">
      <c r="E815" t="s">
        <v>179</v>
      </c>
    </row>
    <row r="816" spans="4:5" x14ac:dyDescent="0.25">
      <c r="E816" t="s">
        <v>180</v>
      </c>
    </row>
    <row r="817" spans="2:5" x14ac:dyDescent="0.25">
      <c r="E817" t="s">
        <v>271</v>
      </c>
    </row>
    <row r="818" spans="2:5" x14ac:dyDescent="0.25">
      <c r="E818" t="s">
        <v>272</v>
      </c>
    </row>
    <row r="819" spans="2:5" x14ac:dyDescent="0.25">
      <c r="D819" t="s">
        <v>73</v>
      </c>
    </row>
    <row r="820" spans="2:5" x14ac:dyDescent="0.25">
      <c r="C820" t="s">
        <v>177</v>
      </c>
    </row>
    <row r="821" spans="2:5" x14ac:dyDescent="0.25">
      <c r="B821" t="s">
        <v>248</v>
      </c>
    </row>
    <row r="822" spans="2:5" x14ac:dyDescent="0.25">
      <c r="B822" t="s">
        <v>67</v>
      </c>
    </row>
    <row r="823" spans="2:5" x14ac:dyDescent="0.25">
      <c r="C823" t="s">
        <v>308</v>
      </c>
    </row>
    <row r="824" spans="2:5" x14ac:dyDescent="0.25">
      <c r="C824" t="s">
        <v>69</v>
      </c>
    </row>
    <row r="825" spans="2:5" x14ac:dyDescent="0.25">
      <c r="D825" t="s">
        <v>70</v>
      </c>
    </row>
    <row r="826" spans="2:5" x14ac:dyDescent="0.25">
      <c r="D826" t="s">
        <v>71</v>
      </c>
    </row>
    <row r="827" spans="2:5" x14ac:dyDescent="0.25">
      <c r="E827" t="s">
        <v>175</v>
      </c>
    </row>
    <row r="828" spans="2:5" x14ac:dyDescent="0.25">
      <c r="E828" t="s">
        <v>179</v>
      </c>
    </row>
    <row r="829" spans="2:5" x14ac:dyDescent="0.25">
      <c r="E829" t="s">
        <v>180</v>
      </c>
    </row>
    <row r="830" spans="2:5" x14ac:dyDescent="0.25">
      <c r="E830" t="s">
        <v>181</v>
      </c>
    </row>
    <row r="831" spans="2:5" x14ac:dyDescent="0.25">
      <c r="E831" t="s">
        <v>171</v>
      </c>
    </row>
    <row r="832" spans="2:5" x14ac:dyDescent="0.25">
      <c r="D832" t="s">
        <v>73</v>
      </c>
    </row>
    <row r="833" spans="4:5" x14ac:dyDescent="0.25">
      <c r="D833" t="s">
        <v>71</v>
      </c>
    </row>
    <row r="834" spans="4:5" x14ac:dyDescent="0.25">
      <c r="E834" t="s">
        <v>174</v>
      </c>
    </row>
    <row r="835" spans="4:5" x14ac:dyDescent="0.25">
      <c r="E835" t="s">
        <v>179</v>
      </c>
    </row>
    <row r="836" spans="4:5" x14ac:dyDescent="0.25">
      <c r="E836" t="s">
        <v>180</v>
      </c>
    </row>
    <row r="837" spans="4:5" x14ac:dyDescent="0.25">
      <c r="E837" t="s">
        <v>181</v>
      </c>
    </row>
    <row r="838" spans="4:5" x14ac:dyDescent="0.25">
      <c r="E838" t="s">
        <v>171</v>
      </c>
    </row>
    <row r="839" spans="4:5" x14ac:dyDescent="0.25">
      <c r="D839" t="s">
        <v>73</v>
      </c>
    </row>
    <row r="840" spans="4:5" x14ac:dyDescent="0.25">
      <c r="D840" t="s">
        <v>71</v>
      </c>
    </row>
    <row r="841" spans="4:5" x14ac:dyDescent="0.25">
      <c r="E841" t="s">
        <v>173</v>
      </c>
    </row>
    <row r="842" spans="4:5" x14ac:dyDescent="0.25">
      <c r="E842" t="s">
        <v>179</v>
      </c>
    </row>
    <row r="843" spans="4:5" x14ac:dyDescent="0.25">
      <c r="E843" t="s">
        <v>180</v>
      </c>
    </row>
    <row r="844" spans="4:5" x14ac:dyDescent="0.25">
      <c r="E844" t="s">
        <v>181</v>
      </c>
    </row>
    <row r="845" spans="4:5" x14ac:dyDescent="0.25">
      <c r="E845" t="s">
        <v>171</v>
      </c>
    </row>
    <row r="846" spans="4:5" x14ac:dyDescent="0.25">
      <c r="D846" t="s">
        <v>73</v>
      </c>
    </row>
    <row r="847" spans="4:5" x14ac:dyDescent="0.25">
      <c r="D847" t="s">
        <v>71</v>
      </c>
    </row>
    <row r="848" spans="4:5" x14ac:dyDescent="0.25">
      <c r="E848" t="s">
        <v>82</v>
      </c>
    </row>
    <row r="849" spans="4:5" x14ac:dyDescent="0.25">
      <c r="E849" t="s">
        <v>179</v>
      </c>
    </row>
    <row r="850" spans="4:5" x14ac:dyDescent="0.25">
      <c r="E850" t="s">
        <v>180</v>
      </c>
    </row>
    <row r="851" spans="4:5" x14ac:dyDescent="0.25">
      <c r="E851" t="s">
        <v>181</v>
      </c>
    </row>
    <row r="852" spans="4:5" x14ac:dyDescent="0.25">
      <c r="E852" t="s">
        <v>171</v>
      </c>
    </row>
    <row r="853" spans="4:5" x14ac:dyDescent="0.25">
      <c r="D853" t="s">
        <v>73</v>
      </c>
    </row>
    <row r="854" spans="4:5" x14ac:dyDescent="0.25">
      <c r="D854" t="s">
        <v>71</v>
      </c>
    </row>
    <row r="855" spans="4:5" x14ac:dyDescent="0.25">
      <c r="E855" t="s">
        <v>81</v>
      </c>
    </row>
    <row r="856" spans="4:5" x14ac:dyDescent="0.25">
      <c r="E856" t="s">
        <v>179</v>
      </c>
    </row>
    <row r="857" spans="4:5" x14ac:dyDescent="0.25">
      <c r="E857" t="s">
        <v>180</v>
      </c>
    </row>
    <row r="858" spans="4:5" x14ac:dyDescent="0.25">
      <c r="E858" t="s">
        <v>182</v>
      </c>
    </row>
    <row r="859" spans="4:5" x14ac:dyDescent="0.25">
      <c r="E859" t="s">
        <v>183</v>
      </c>
    </row>
    <row r="860" spans="4:5" x14ac:dyDescent="0.25">
      <c r="D860" t="s">
        <v>73</v>
      </c>
    </row>
    <row r="861" spans="4:5" x14ac:dyDescent="0.25">
      <c r="D861" t="s">
        <v>71</v>
      </c>
    </row>
    <row r="862" spans="4:5" x14ac:dyDescent="0.25">
      <c r="E862" t="s">
        <v>80</v>
      </c>
    </row>
    <row r="863" spans="4:5" x14ac:dyDescent="0.25">
      <c r="E863" t="s">
        <v>179</v>
      </c>
    </row>
    <row r="864" spans="4:5" x14ac:dyDescent="0.25">
      <c r="E864" t="s">
        <v>180</v>
      </c>
    </row>
    <row r="865" spans="4:5" x14ac:dyDescent="0.25">
      <c r="E865" t="s">
        <v>184</v>
      </c>
    </row>
    <row r="866" spans="4:5" x14ac:dyDescent="0.25">
      <c r="E866" t="s">
        <v>185</v>
      </c>
    </row>
    <row r="867" spans="4:5" x14ac:dyDescent="0.25">
      <c r="D867" t="s">
        <v>73</v>
      </c>
    </row>
    <row r="868" spans="4:5" x14ac:dyDescent="0.25">
      <c r="D868" t="s">
        <v>71</v>
      </c>
    </row>
    <row r="869" spans="4:5" x14ac:dyDescent="0.25">
      <c r="E869" t="s">
        <v>79</v>
      </c>
    </row>
    <row r="870" spans="4:5" x14ac:dyDescent="0.25">
      <c r="E870" t="s">
        <v>179</v>
      </c>
    </row>
    <row r="871" spans="4:5" x14ac:dyDescent="0.25">
      <c r="E871" t="s">
        <v>180</v>
      </c>
    </row>
    <row r="872" spans="4:5" x14ac:dyDescent="0.25">
      <c r="E872" t="s">
        <v>186</v>
      </c>
    </row>
    <row r="873" spans="4:5" x14ac:dyDescent="0.25">
      <c r="E873" t="s">
        <v>187</v>
      </c>
    </row>
    <row r="874" spans="4:5" x14ac:dyDescent="0.25">
      <c r="D874" t="s">
        <v>73</v>
      </c>
    </row>
    <row r="875" spans="4:5" x14ac:dyDescent="0.25">
      <c r="D875" t="s">
        <v>71</v>
      </c>
    </row>
    <row r="876" spans="4:5" x14ac:dyDescent="0.25">
      <c r="E876" t="s">
        <v>78</v>
      </c>
    </row>
    <row r="877" spans="4:5" x14ac:dyDescent="0.25">
      <c r="E877" t="s">
        <v>179</v>
      </c>
    </row>
    <row r="878" spans="4:5" x14ac:dyDescent="0.25">
      <c r="E878" t="s">
        <v>180</v>
      </c>
    </row>
    <row r="879" spans="4:5" x14ac:dyDescent="0.25">
      <c r="E879" t="s">
        <v>182</v>
      </c>
    </row>
    <row r="880" spans="4:5" x14ac:dyDescent="0.25">
      <c r="E880" t="s">
        <v>183</v>
      </c>
    </row>
    <row r="881" spans="4:5" x14ac:dyDescent="0.25">
      <c r="D881" t="s">
        <v>73</v>
      </c>
    </row>
    <row r="882" spans="4:5" x14ac:dyDescent="0.25">
      <c r="D882" t="s">
        <v>71</v>
      </c>
    </row>
    <row r="883" spans="4:5" x14ac:dyDescent="0.25">
      <c r="E883" t="s">
        <v>77</v>
      </c>
    </row>
    <row r="884" spans="4:5" x14ac:dyDescent="0.25">
      <c r="E884" t="s">
        <v>179</v>
      </c>
    </row>
    <row r="885" spans="4:5" x14ac:dyDescent="0.25">
      <c r="E885" t="s">
        <v>180</v>
      </c>
    </row>
    <row r="886" spans="4:5" x14ac:dyDescent="0.25">
      <c r="E886" t="s">
        <v>181</v>
      </c>
    </row>
    <row r="887" spans="4:5" x14ac:dyDescent="0.25">
      <c r="E887" t="s">
        <v>171</v>
      </c>
    </row>
    <row r="888" spans="4:5" x14ac:dyDescent="0.25">
      <c r="D888" t="s">
        <v>73</v>
      </c>
    </row>
    <row r="889" spans="4:5" x14ac:dyDescent="0.25">
      <c r="D889" t="s">
        <v>71</v>
      </c>
    </row>
    <row r="890" spans="4:5" x14ac:dyDescent="0.25">
      <c r="E890" t="s">
        <v>76</v>
      </c>
    </row>
    <row r="891" spans="4:5" x14ac:dyDescent="0.25">
      <c r="E891" t="s">
        <v>179</v>
      </c>
    </row>
    <row r="892" spans="4:5" x14ac:dyDescent="0.25">
      <c r="E892" t="s">
        <v>180</v>
      </c>
    </row>
    <row r="893" spans="4:5" x14ac:dyDescent="0.25">
      <c r="E893" t="s">
        <v>181</v>
      </c>
    </row>
    <row r="894" spans="4:5" x14ac:dyDescent="0.25">
      <c r="E894" t="s">
        <v>171</v>
      </c>
    </row>
    <row r="895" spans="4:5" x14ac:dyDescent="0.25">
      <c r="D895" t="s">
        <v>73</v>
      </c>
    </row>
    <row r="896" spans="4:5" x14ac:dyDescent="0.25">
      <c r="D896" t="s">
        <v>71</v>
      </c>
    </row>
    <row r="897" spans="3:5" x14ac:dyDescent="0.25">
      <c r="E897" t="s">
        <v>75</v>
      </c>
    </row>
    <row r="898" spans="3:5" x14ac:dyDescent="0.25">
      <c r="E898" t="s">
        <v>179</v>
      </c>
    </row>
    <row r="899" spans="3:5" x14ac:dyDescent="0.25">
      <c r="E899" t="s">
        <v>180</v>
      </c>
    </row>
    <row r="900" spans="3:5" x14ac:dyDescent="0.25">
      <c r="E900" t="s">
        <v>181</v>
      </c>
    </row>
    <row r="901" spans="3:5" x14ac:dyDescent="0.25">
      <c r="E901" t="s">
        <v>171</v>
      </c>
    </row>
    <row r="902" spans="3:5" x14ac:dyDescent="0.25">
      <c r="D902" t="s">
        <v>73</v>
      </c>
    </row>
    <row r="903" spans="3:5" x14ac:dyDescent="0.25">
      <c r="D903" t="s">
        <v>71</v>
      </c>
    </row>
    <row r="904" spans="3:5" x14ac:dyDescent="0.25">
      <c r="E904" t="s">
        <v>74</v>
      </c>
    </row>
    <row r="905" spans="3:5" x14ac:dyDescent="0.25">
      <c r="E905" t="s">
        <v>179</v>
      </c>
    </row>
    <row r="906" spans="3:5" x14ac:dyDescent="0.25">
      <c r="E906" t="s">
        <v>180</v>
      </c>
    </row>
    <row r="907" spans="3:5" x14ac:dyDescent="0.25">
      <c r="E907" t="s">
        <v>181</v>
      </c>
    </row>
    <row r="908" spans="3:5" x14ac:dyDescent="0.25">
      <c r="E908" t="s">
        <v>171</v>
      </c>
    </row>
    <row r="909" spans="3:5" x14ac:dyDescent="0.25">
      <c r="D909" t="s">
        <v>73</v>
      </c>
    </row>
    <row r="910" spans="3:5" x14ac:dyDescent="0.25">
      <c r="C910" t="s">
        <v>177</v>
      </c>
    </row>
    <row r="911" spans="3:5" x14ac:dyDescent="0.25">
      <c r="C911" t="s">
        <v>69</v>
      </c>
    </row>
    <row r="912" spans="3:5" x14ac:dyDescent="0.25">
      <c r="D912" t="s">
        <v>178</v>
      </c>
    </row>
    <row r="913" spans="4:5" x14ac:dyDescent="0.25">
      <c r="D913" t="s">
        <v>71</v>
      </c>
    </row>
    <row r="914" spans="4:5" x14ac:dyDescent="0.25">
      <c r="E914" t="s">
        <v>175</v>
      </c>
    </row>
    <row r="915" spans="4:5" x14ac:dyDescent="0.25">
      <c r="E915" t="s">
        <v>179</v>
      </c>
    </row>
    <row r="916" spans="4:5" x14ac:dyDescent="0.25">
      <c r="E916" t="s">
        <v>180</v>
      </c>
    </row>
    <row r="917" spans="4:5" x14ac:dyDescent="0.25">
      <c r="E917" t="s">
        <v>181</v>
      </c>
    </row>
    <row r="918" spans="4:5" x14ac:dyDescent="0.25">
      <c r="E918" t="s">
        <v>171</v>
      </c>
    </row>
    <row r="919" spans="4:5" x14ac:dyDescent="0.25">
      <c r="D919" t="s">
        <v>73</v>
      </c>
    </row>
    <row r="920" spans="4:5" x14ac:dyDescent="0.25">
      <c r="D920" t="s">
        <v>71</v>
      </c>
    </row>
    <row r="921" spans="4:5" x14ac:dyDescent="0.25">
      <c r="E921" t="s">
        <v>174</v>
      </c>
    </row>
    <row r="922" spans="4:5" x14ac:dyDescent="0.25">
      <c r="E922" t="s">
        <v>179</v>
      </c>
    </row>
    <row r="923" spans="4:5" x14ac:dyDescent="0.25">
      <c r="E923" t="s">
        <v>180</v>
      </c>
    </row>
    <row r="924" spans="4:5" x14ac:dyDescent="0.25">
      <c r="E924" t="s">
        <v>181</v>
      </c>
    </row>
    <row r="925" spans="4:5" x14ac:dyDescent="0.25">
      <c r="E925" t="s">
        <v>171</v>
      </c>
    </row>
    <row r="926" spans="4:5" x14ac:dyDescent="0.25">
      <c r="D926" t="s">
        <v>73</v>
      </c>
    </row>
    <row r="927" spans="4:5" x14ac:dyDescent="0.25">
      <c r="D927" t="s">
        <v>71</v>
      </c>
    </row>
    <row r="928" spans="4:5" x14ac:dyDescent="0.25">
      <c r="E928" t="s">
        <v>173</v>
      </c>
    </row>
    <row r="929" spans="4:5" x14ac:dyDescent="0.25">
      <c r="E929" t="s">
        <v>179</v>
      </c>
    </row>
    <row r="930" spans="4:5" x14ac:dyDescent="0.25">
      <c r="E930" t="s">
        <v>180</v>
      </c>
    </row>
    <row r="931" spans="4:5" x14ac:dyDescent="0.25">
      <c r="E931" t="s">
        <v>181</v>
      </c>
    </row>
    <row r="932" spans="4:5" x14ac:dyDescent="0.25">
      <c r="E932" t="s">
        <v>171</v>
      </c>
    </row>
    <row r="933" spans="4:5" x14ac:dyDescent="0.25">
      <c r="D933" t="s">
        <v>73</v>
      </c>
    </row>
    <row r="934" spans="4:5" x14ac:dyDescent="0.25">
      <c r="D934" t="s">
        <v>71</v>
      </c>
    </row>
    <row r="935" spans="4:5" x14ac:dyDescent="0.25">
      <c r="E935" t="s">
        <v>82</v>
      </c>
    </row>
    <row r="936" spans="4:5" x14ac:dyDescent="0.25">
      <c r="E936" t="s">
        <v>179</v>
      </c>
    </row>
    <row r="937" spans="4:5" x14ac:dyDescent="0.25">
      <c r="E937" t="s">
        <v>180</v>
      </c>
    </row>
    <row r="938" spans="4:5" x14ac:dyDescent="0.25">
      <c r="E938" t="s">
        <v>181</v>
      </c>
    </row>
    <row r="939" spans="4:5" x14ac:dyDescent="0.25">
      <c r="E939" t="s">
        <v>171</v>
      </c>
    </row>
    <row r="940" spans="4:5" x14ac:dyDescent="0.25">
      <c r="D940" t="s">
        <v>73</v>
      </c>
    </row>
    <row r="941" spans="4:5" x14ac:dyDescent="0.25">
      <c r="D941" t="s">
        <v>71</v>
      </c>
    </row>
    <row r="942" spans="4:5" x14ac:dyDescent="0.25">
      <c r="E942" t="s">
        <v>81</v>
      </c>
    </row>
    <row r="943" spans="4:5" x14ac:dyDescent="0.25">
      <c r="E943" t="s">
        <v>179</v>
      </c>
    </row>
    <row r="944" spans="4:5" x14ac:dyDescent="0.25">
      <c r="E944" t="s">
        <v>180</v>
      </c>
    </row>
    <row r="945" spans="4:5" x14ac:dyDescent="0.25">
      <c r="E945" t="s">
        <v>182</v>
      </c>
    </row>
    <row r="946" spans="4:5" x14ac:dyDescent="0.25">
      <c r="E946" t="s">
        <v>183</v>
      </c>
    </row>
    <row r="947" spans="4:5" x14ac:dyDescent="0.25">
      <c r="D947" t="s">
        <v>73</v>
      </c>
    </row>
    <row r="948" spans="4:5" x14ac:dyDescent="0.25">
      <c r="D948" t="s">
        <v>71</v>
      </c>
    </row>
    <row r="949" spans="4:5" x14ac:dyDescent="0.25">
      <c r="E949" t="s">
        <v>80</v>
      </c>
    </row>
    <row r="950" spans="4:5" x14ac:dyDescent="0.25">
      <c r="E950" t="s">
        <v>179</v>
      </c>
    </row>
    <row r="951" spans="4:5" x14ac:dyDescent="0.25">
      <c r="E951" t="s">
        <v>180</v>
      </c>
    </row>
    <row r="952" spans="4:5" x14ac:dyDescent="0.25">
      <c r="E952" t="s">
        <v>184</v>
      </c>
    </row>
    <row r="953" spans="4:5" x14ac:dyDescent="0.25">
      <c r="E953" t="s">
        <v>185</v>
      </c>
    </row>
    <row r="954" spans="4:5" x14ac:dyDescent="0.25">
      <c r="D954" t="s">
        <v>73</v>
      </c>
    </row>
    <row r="955" spans="4:5" x14ac:dyDescent="0.25">
      <c r="D955" t="s">
        <v>71</v>
      </c>
    </row>
    <row r="956" spans="4:5" x14ac:dyDescent="0.25">
      <c r="E956" t="s">
        <v>79</v>
      </c>
    </row>
    <row r="957" spans="4:5" x14ac:dyDescent="0.25">
      <c r="E957" t="s">
        <v>179</v>
      </c>
    </row>
    <row r="958" spans="4:5" x14ac:dyDescent="0.25">
      <c r="E958" t="s">
        <v>180</v>
      </c>
    </row>
    <row r="959" spans="4:5" x14ac:dyDescent="0.25">
      <c r="E959" t="s">
        <v>186</v>
      </c>
    </row>
    <row r="960" spans="4:5" x14ac:dyDescent="0.25">
      <c r="E960" t="s">
        <v>187</v>
      </c>
    </row>
    <row r="961" spans="4:5" x14ac:dyDescent="0.25">
      <c r="D961" t="s">
        <v>73</v>
      </c>
    </row>
    <row r="962" spans="4:5" x14ac:dyDescent="0.25">
      <c r="D962" t="s">
        <v>71</v>
      </c>
    </row>
    <row r="963" spans="4:5" x14ac:dyDescent="0.25">
      <c r="E963" t="s">
        <v>78</v>
      </c>
    </row>
    <row r="964" spans="4:5" x14ac:dyDescent="0.25">
      <c r="E964" t="s">
        <v>179</v>
      </c>
    </row>
    <row r="965" spans="4:5" x14ac:dyDescent="0.25">
      <c r="E965" t="s">
        <v>180</v>
      </c>
    </row>
    <row r="966" spans="4:5" x14ac:dyDescent="0.25">
      <c r="E966" t="s">
        <v>182</v>
      </c>
    </row>
    <row r="967" spans="4:5" x14ac:dyDescent="0.25">
      <c r="E967" t="s">
        <v>183</v>
      </c>
    </row>
    <row r="968" spans="4:5" x14ac:dyDescent="0.25">
      <c r="D968" t="s">
        <v>73</v>
      </c>
    </row>
    <row r="969" spans="4:5" x14ac:dyDescent="0.25">
      <c r="D969" t="s">
        <v>71</v>
      </c>
    </row>
    <row r="970" spans="4:5" x14ac:dyDescent="0.25">
      <c r="E970" t="s">
        <v>77</v>
      </c>
    </row>
    <row r="971" spans="4:5" x14ac:dyDescent="0.25">
      <c r="E971" t="s">
        <v>179</v>
      </c>
    </row>
    <row r="972" spans="4:5" x14ac:dyDescent="0.25">
      <c r="E972" t="s">
        <v>180</v>
      </c>
    </row>
    <row r="973" spans="4:5" x14ac:dyDescent="0.25">
      <c r="E973" t="s">
        <v>181</v>
      </c>
    </row>
    <row r="974" spans="4:5" x14ac:dyDescent="0.25">
      <c r="E974" t="s">
        <v>171</v>
      </c>
    </row>
    <row r="975" spans="4:5" x14ac:dyDescent="0.25">
      <c r="D975" t="s">
        <v>73</v>
      </c>
    </row>
    <row r="976" spans="4:5" x14ac:dyDescent="0.25">
      <c r="D976" t="s">
        <v>71</v>
      </c>
    </row>
    <row r="977" spans="4:5" x14ac:dyDescent="0.25">
      <c r="E977" t="s">
        <v>76</v>
      </c>
    </row>
    <row r="978" spans="4:5" x14ac:dyDescent="0.25">
      <c r="E978" t="s">
        <v>179</v>
      </c>
    </row>
    <row r="979" spans="4:5" x14ac:dyDescent="0.25">
      <c r="E979" t="s">
        <v>180</v>
      </c>
    </row>
    <row r="980" spans="4:5" x14ac:dyDescent="0.25">
      <c r="E980" t="s">
        <v>181</v>
      </c>
    </row>
    <row r="981" spans="4:5" x14ac:dyDescent="0.25">
      <c r="E981" t="s">
        <v>171</v>
      </c>
    </row>
    <row r="982" spans="4:5" x14ac:dyDescent="0.25">
      <c r="D982" t="s">
        <v>73</v>
      </c>
    </row>
    <row r="983" spans="4:5" x14ac:dyDescent="0.25">
      <c r="D983" t="s">
        <v>71</v>
      </c>
    </row>
    <row r="984" spans="4:5" x14ac:dyDescent="0.25">
      <c r="E984" t="s">
        <v>75</v>
      </c>
    </row>
    <row r="985" spans="4:5" x14ac:dyDescent="0.25">
      <c r="E985" t="s">
        <v>179</v>
      </c>
    </row>
    <row r="986" spans="4:5" x14ac:dyDescent="0.25">
      <c r="E986" t="s">
        <v>180</v>
      </c>
    </row>
    <row r="987" spans="4:5" x14ac:dyDescent="0.25">
      <c r="E987" t="s">
        <v>181</v>
      </c>
    </row>
    <row r="988" spans="4:5" x14ac:dyDescent="0.25">
      <c r="E988" t="s">
        <v>171</v>
      </c>
    </row>
    <row r="989" spans="4:5" x14ac:dyDescent="0.25">
      <c r="D989" t="s">
        <v>73</v>
      </c>
    </row>
    <row r="990" spans="4:5" x14ac:dyDescent="0.25">
      <c r="D990" t="s">
        <v>71</v>
      </c>
    </row>
    <row r="991" spans="4:5" x14ac:dyDescent="0.25">
      <c r="E991" t="s">
        <v>74</v>
      </c>
    </row>
    <row r="992" spans="4:5" x14ac:dyDescent="0.25">
      <c r="E992" t="s">
        <v>179</v>
      </c>
    </row>
    <row r="993" spans="3:5" x14ac:dyDescent="0.25">
      <c r="E993" t="s">
        <v>180</v>
      </c>
    </row>
    <row r="994" spans="3:5" x14ac:dyDescent="0.25">
      <c r="E994" t="s">
        <v>181</v>
      </c>
    </row>
    <row r="995" spans="3:5" x14ac:dyDescent="0.25">
      <c r="E995" t="s">
        <v>171</v>
      </c>
    </row>
    <row r="996" spans="3:5" x14ac:dyDescent="0.25">
      <c r="D996" t="s">
        <v>73</v>
      </c>
    </row>
    <row r="997" spans="3:5" x14ac:dyDescent="0.25">
      <c r="C997" t="s">
        <v>177</v>
      </c>
    </row>
    <row r="998" spans="3:5" x14ac:dyDescent="0.25">
      <c r="C998" t="s">
        <v>69</v>
      </c>
    </row>
    <row r="999" spans="3:5" x14ac:dyDescent="0.25">
      <c r="D999" t="s">
        <v>188</v>
      </c>
    </row>
    <row r="1000" spans="3:5" x14ac:dyDescent="0.25">
      <c r="D1000" t="s">
        <v>71</v>
      </c>
    </row>
    <row r="1001" spans="3:5" x14ac:dyDescent="0.25">
      <c r="E1001" t="s">
        <v>175</v>
      </c>
    </row>
    <row r="1002" spans="3:5" x14ac:dyDescent="0.25">
      <c r="E1002" t="s">
        <v>179</v>
      </c>
    </row>
    <row r="1003" spans="3:5" x14ac:dyDescent="0.25">
      <c r="E1003" t="s">
        <v>180</v>
      </c>
    </row>
    <row r="1004" spans="3:5" x14ac:dyDescent="0.25">
      <c r="E1004" t="s">
        <v>309</v>
      </c>
    </row>
    <row r="1005" spans="3:5" x14ac:dyDescent="0.25">
      <c r="E1005" t="s">
        <v>229</v>
      </c>
    </row>
    <row r="1006" spans="3:5" x14ac:dyDescent="0.25">
      <c r="D1006" t="s">
        <v>73</v>
      </c>
    </row>
    <row r="1007" spans="3:5" x14ac:dyDescent="0.25">
      <c r="D1007" t="s">
        <v>71</v>
      </c>
    </row>
    <row r="1008" spans="3:5" x14ac:dyDescent="0.25">
      <c r="E1008" t="s">
        <v>174</v>
      </c>
    </row>
    <row r="1009" spans="4:5" x14ac:dyDescent="0.25">
      <c r="E1009" t="s">
        <v>179</v>
      </c>
    </row>
    <row r="1010" spans="4:5" x14ac:dyDescent="0.25">
      <c r="E1010" t="s">
        <v>180</v>
      </c>
    </row>
    <row r="1011" spans="4:5" x14ac:dyDescent="0.25">
      <c r="E1011" t="s">
        <v>310</v>
      </c>
    </row>
    <row r="1012" spans="4:5" x14ac:dyDescent="0.25">
      <c r="E1012" t="s">
        <v>172</v>
      </c>
    </row>
    <row r="1013" spans="4:5" x14ac:dyDescent="0.25">
      <c r="D1013" t="s">
        <v>73</v>
      </c>
    </row>
    <row r="1014" spans="4:5" x14ac:dyDescent="0.25">
      <c r="D1014" t="s">
        <v>71</v>
      </c>
    </row>
    <row r="1015" spans="4:5" x14ac:dyDescent="0.25">
      <c r="E1015" t="s">
        <v>82</v>
      </c>
    </row>
    <row r="1016" spans="4:5" x14ac:dyDescent="0.25">
      <c r="E1016" t="s">
        <v>179</v>
      </c>
    </row>
    <row r="1017" spans="4:5" x14ac:dyDescent="0.25">
      <c r="E1017" t="s">
        <v>180</v>
      </c>
    </row>
    <row r="1018" spans="4:5" x14ac:dyDescent="0.25">
      <c r="E1018" t="s">
        <v>311</v>
      </c>
    </row>
    <row r="1019" spans="4:5" x14ac:dyDescent="0.25">
      <c r="E1019" t="s">
        <v>312</v>
      </c>
    </row>
    <row r="1020" spans="4:5" x14ac:dyDescent="0.25">
      <c r="D1020" t="s">
        <v>73</v>
      </c>
    </row>
    <row r="1021" spans="4:5" x14ac:dyDescent="0.25">
      <c r="D1021" t="s">
        <v>71</v>
      </c>
    </row>
    <row r="1022" spans="4:5" x14ac:dyDescent="0.25">
      <c r="E1022" t="s">
        <v>81</v>
      </c>
    </row>
    <row r="1023" spans="4:5" x14ac:dyDescent="0.25">
      <c r="E1023" t="s">
        <v>179</v>
      </c>
    </row>
    <row r="1024" spans="4:5" x14ac:dyDescent="0.25">
      <c r="E1024" t="s">
        <v>180</v>
      </c>
    </row>
    <row r="1025" spans="4:5" x14ac:dyDescent="0.25">
      <c r="E1025" t="s">
        <v>313</v>
      </c>
    </row>
    <row r="1026" spans="4:5" x14ac:dyDescent="0.25">
      <c r="E1026" t="s">
        <v>314</v>
      </c>
    </row>
    <row r="1027" spans="4:5" x14ac:dyDescent="0.25">
      <c r="D1027" t="s">
        <v>73</v>
      </c>
    </row>
    <row r="1028" spans="4:5" x14ac:dyDescent="0.25">
      <c r="D1028" t="s">
        <v>71</v>
      </c>
    </row>
    <row r="1029" spans="4:5" x14ac:dyDescent="0.25">
      <c r="E1029" t="s">
        <v>80</v>
      </c>
    </row>
    <row r="1030" spans="4:5" x14ac:dyDescent="0.25">
      <c r="E1030" t="s">
        <v>179</v>
      </c>
    </row>
    <row r="1031" spans="4:5" x14ac:dyDescent="0.25">
      <c r="E1031" t="s">
        <v>180</v>
      </c>
    </row>
    <row r="1032" spans="4:5" x14ac:dyDescent="0.25">
      <c r="E1032" t="s">
        <v>315</v>
      </c>
    </row>
    <row r="1033" spans="4:5" x14ac:dyDescent="0.25">
      <c r="E1033" t="s">
        <v>316</v>
      </c>
    </row>
    <row r="1034" spans="4:5" x14ac:dyDescent="0.25">
      <c r="D1034" t="s">
        <v>73</v>
      </c>
    </row>
    <row r="1035" spans="4:5" x14ac:dyDescent="0.25">
      <c r="D1035" t="s">
        <v>71</v>
      </c>
    </row>
    <row r="1036" spans="4:5" x14ac:dyDescent="0.25">
      <c r="E1036" t="s">
        <v>79</v>
      </c>
    </row>
    <row r="1037" spans="4:5" x14ac:dyDescent="0.25">
      <c r="E1037" t="s">
        <v>179</v>
      </c>
    </row>
    <row r="1038" spans="4:5" x14ac:dyDescent="0.25">
      <c r="E1038" t="s">
        <v>180</v>
      </c>
    </row>
    <row r="1039" spans="4:5" x14ac:dyDescent="0.25">
      <c r="E1039" t="s">
        <v>315</v>
      </c>
    </row>
    <row r="1040" spans="4:5" x14ac:dyDescent="0.25">
      <c r="E1040" t="s">
        <v>316</v>
      </c>
    </row>
    <row r="1041" spans="4:5" x14ac:dyDescent="0.25">
      <c r="D1041" t="s">
        <v>73</v>
      </c>
    </row>
    <row r="1042" spans="4:5" x14ac:dyDescent="0.25">
      <c r="D1042" t="s">
        <v>71</v>
      </c>
    </row>
    <row r="1043" spans="4:5" x14ac:dyDescent="0.25">
      <c r="E1043" t="s">
        <v>78</v>
      </c>
    </row>
    <row r="1044" spans="4:5" x14ac:dyDescent="0.25">
      <c r="E1044" t="s">
        <v>179</v>
      </c>
    </row>
    <row r="1045" spans="4:5" x14ac:dyDescent="0.25">
      <c r="E1045" t="s">
        <v>180</v>
      </c>
    </row>
    <row r="1046" spans="4:5" x14ac:dyDescent="0.25">
      <c r="E1046" t="s">
        <v>317</v>
      </c>
    </row>
    <row r="1047" spans="4:5" x14ac:dyDescent="0.25">
      <c r="E1047" t="s">
        <v>318</v>
      </c>
    </row>
    <row r="1048" spans="4:5" x14ac:dyDescent="0.25">
      <c r="D1048" t="s">
        <v>73</v>
      </c>
    </row>
    <row r="1049" spans="4:5" x14ac:dyDescent="0.25">
      <c r="D1049" t="s">
        <v>71</v>
      </c>
    </row>
    <row r="1050" spans="4:5" x14ac:dyDescent="0.25">
      <c r="E1050" t="s">
        <v>77</v>
      </c>
    </row>
    <row r="1051" spans="4:5" x14ac:dyDescent="0.25">
      <c r="E1051" t="s">
        <v>179</v>
      </c>
    </row>
    <row r="1052" spans="4:5" x14ac:dyDescent="0.25">
      <c r="E1052" t="s">
        <v>180</v>
      </c>
    </row>
    <row r="1053" spans="4:5" x14ac:dyDescent="0.25">
      <c r="E1053" t="s">
        <v>317</v>
      </c>
    </row>
    <row r="1054" spans="4:5" x14ac:dyDescent="0.25">
      <c r="E1054" t="s">
        <v>318</v>
      </c>
    </row>
    <row r="1055" spans="4:5" x14ac:dyDescent="0.25">
      <c r="D1055" t="s">
        <v>73</v>
      </c>
    </row>
    <row r="1056" spans="4:5" x14ac:dyDescent="0.25">
      <c r="D1056" t="s">
        <v>71</v>
      </c>
    </row>
    <row r="1057" spans="4:5" x14ac:dyDescent="0.25">
      <c r="E1057" t="s">
        <v>76</v>
      </c>
    </row>
    <row r="1058" spans="4:5" x14ac:dyDescent="0.25">
      <c r="E1058" t="s">
        <v>179</v>
      </c>
    </row>
    <row r="1059" spans="4:5" x14ac:dyDescent="0.25">
      <c r="E1059" t="s">
        <v>180</v>
      </c>
    </row>
    <row r="1060" spans="4:5" x14ac:dyDescent="0.25">
      <c r="E1060" t="s">
        <v>317</v>
      </c>
    </row>
    <row r="1061" spans="4:5" x14ac:dyDescent="0.25">
      <c r="E1061" t="s">
        <v>318</v>
      </c>
    </row>
    <row r="1062" spans="4:5" x14ac:dyDescent="0.25">
      <c r="D1062" t="s">
        <v>73</v>
      </c>
    </row>
    <row r="1063" spans="4:5" x14ac:dyDescent="0.25">
      <c r="D1063" t="s">
        <v>71</v>
      </c>
    </row>
    <row r="1064" spans="4:5" x14ac:dyDescent="0.25">
      <c r="E1064" t="s">
        <v>75</v>
      </c>
    </row>
    <row r="1065" spans="4:5" x14ac:dyDescent="0.25">
      <c r="E1065" t="s">
        <v>179</v>
      </c>
    </row>
    <row r="1066" spans="4:5" x14ac:dyDescent="0.25">
      <c r="E1066" t="s">
        <v>180</v>
      </c>
    </row>
    <row r="1067" spans="4:5" x14ac:dyDescent="0.25">
      <c r="E1067" t="s">
        <v>317</v>
      </c>
    </row>
    <row r="1068" spans="4:5" x14ac:dyDescent="0.25">
      <c r="E1068" t="s">
        <v>318</v>
      </c>
    </row>
    <row r="1069" spans="4:5" x14ac:dyDescent="0.25">
      <c r="D1069" t="s">
        <v>73</v>
      </c>
    </row>
    <row r="1070" spans="4:5" x14ac:dyDescent="0.25">
      <c r="D1070" t="s">
        <v>71</v>
      </c>
    </row>
    <row r="1071" spans="4:5" x14ac:dyDescent="0.25">
      <c r="E1071" t="s">
        <v>74</v>
      </c>
    </row>
    <row r="1072" spans="4:5" x14ac:dyDescent="0.25">
      <c r="E1072" t="s">
        <v>179</v>
      </c>
    </row>
    <row r="1073" spans="3:5" x14ac:dyDescent="0.25">
      <c r="E1073" t="s">
        <v>180</v>
      </c>
    </row>
    <row r="1074" spans="3:5" x14ac:dyDescent="0.25">
      <c r="E1074" t="s">
        <v>317</v>
      </c>
    </row>
    <row r="1075" spans="3:5" x14ac:dyDescent="0.25">
      <c r="E1075" t="s">
        <v>318</v>
      </c>
    </row>
    <row r="1076" spans="3:5" x14ac:dyDescent="0.25">
      <c r="D1076" t="s">
        <v>73</v>
      </c>
    </row>
    <row r="1077" spans="3:5" x14ac:dyDescent="0.25">
      <c r="D1077" t="s">
        <v>71</v>
      </c>
    </row>
    <row r="1078" spans="3:5" x14ac:dyDescent="0.25">
      <c r="E1078" t="s">
        <v>72</v>
      </c>
    </row>
    <row r="1079" spans="3:5" x14ac:dyDescent="0.25">
      <c r="E1079" t="s">
        <v>179</v>
      </c>
    </row>
    <row r="1080" spans="3:5" x14ac:dyDescent="0.25">
      <c r="E1080" t="s">
        <v>180</v>
      </c>
    </row>
    <row r="1081" spans="3:5" x14ac:dyDescent="0.25">
      <c r="E1081" t="s">
        <v>319</v>
      </c>
    </row>
    <row r="1082" spans="3:5" x14ac:dyDescent="0.25">
      <c r="E1082" t="s">
        <v>272</v>
      </c>
    </row>
    <row r="1083" spans="3:5" x14ac:dyDescent="0.25">
      <c r="D1083" t="s">
        <v>73</v>
      </c>
    </row>
    <row r="1084" spans="3:5" x14ac:dyDescent="0.25">
      <c r="C1084" t="s">
        <v>177</v>
      </c>
    </row>
    <row r="1085" spans="3:5" x14ac:dyDescent="0.25">
      <c r="C1085" t="s">
        <v>69</v>
      </c>
    </row>
    <row r="1086" spans="3:5" x14ac:dyDescent="0.25">
      <c r="D1086" t="s">
        <v>210</v>
      </c>
    </row>
    <row r="1087" spans="3:5" x14ac:dyDescent="0.25">
      <c r="D1087" t="s">
        <v>71</v>
      </c>
    </row>
    <row r="1088" spans="3:5" x14ac:dyDescent="0.25">
      <c r="E1088" t="s">
        <v>175</v>
      </c>
    </row>
    <row r="1089" spans="4:5" x14ac:dyDescent="0.25">
      <c r="E1089" t="s">
        <v>179</v>
      </c>
    </row>
    <row r="1090" spans="4:5" x14ac:dyDescent="0.25">
      <c r="E1090" t="s">
        <v>180</v>
      </c>
    </row>
    <row r="1091" spans="4:5" x14ac:dyDescent="0.25">
      <c r="E1091" t="s">
        <v>320</v>
      </c>
    </row>
    <row r="1092" spans="4:5" x14ac:dyDescent="0.25">
      <c r="E1092" t="s">
        <v>321</v>
      </c>
    </row>
    <row r="1093" spans="4:5" x14ac:dyDescent="0.25">
      <c r="D1093" t="s">
        <v>73</v>
      </c>
    </row>
    <row r="1094" spans="4:5" x14ac:dyDescent="0.25">
      <c r="D1094" t="s">
        <v>71</v>
      </c>
    </row>
    <row r="1095" spans="4:5" x14ac:dyDescent="0.25">
      <c r="E1095" t="s">
        <v>173</v>
      </c>
    </row>
    <row r="1096" spans="4:5" x14ac:dyDescent="0.25">
      <c r="E1096" t="s">
        <v>179</v>
      </c>
    </row>
    <row r="1097" spans="4:5" x14ac:dyDescent="0.25">
      <c r="E1097" t="s">
        <v>180</v>
      </c>
    </row>
    <row r="1098" spans="4:5" x14ac:dyDescent="0.25">
      <c r="E1098" t="s">
        <v>322</v>
      </c>
    </row>
    <row r="1099" spans="4:5" x14ac:dyDescent="0.25">
      <c r="E1099" t="s">
        <v>229</v>
      </c>
    </row>
    <row r="1100" spans="4:5" x14ac:dyDescent="0.25">
      <c r="D1100" t="s">
        <v>73</v>
      </c>
    </row>
    <row r="1101" spans="4:5" x14ac:dyDescent="0.25">
      <c r="D1101" t="s">
        <v>71</v>
      </c>
    </row>
    <row r="1102" spans="4:5" x14ac:dyDescent="0.25">
      <c r="E1102" t="s">
        <v>82</v>
      </c>
    </row>
    <row r="1103" spans="4:5" x14ac:dyDescent="0.25">
      <c r="E1103" t="s">
        <v>179</v>
      </c>
    </row>
    <row r="1104" spans="4:5" x14ac:dyDescent="0.25">
      <c r="E1104" t="s">
        <v>180</v>
      </c>
    </row>
    <row r="1105" spans="4:5" x14ac:dyDescent="0.25">
      <c r="E1105" t="s">
        <v>323</v>
      </c>
    </row>
    <row r="1106" spans="4:5" x14ac:dyDescent="0.25">
      <c r="E1106" t="s">
        <v>229</v>
      </c>
    </row>
    <row r="1107" spans="4:5" x14ac:dyDescent="0.25">
      <c r="D1107" t="s">
        <v>73</v>
      </c>
    </row>
    <row r="1108" spans="4:5" x14ac:dyDescent="0.25">
      <c r="D1108" t="s">
        <v>71</v>
      </c>
    </row>
    <row r="1109" spans="4:5" x14ac:dyDescent="0.25">
      <c r="E1109" t="s">
        <v>81</v>
      </c>
    </row>
    <row r="1110" spans="4:5" x14ac:dyDescent="0.25">
      <c r="E1110" t="s">
        <v>179</v>
      </c>
    </row>
    <row r="1111" spans="4:5" x14ac:dyDescent="0.25">
      <c r="E1111" t="s">
        <v>180</v>
      </c>
    </row>
    <row r="1112" spans="4:5" x14ac:dyDescent="0.25">
      <c r="E1112" t="s">
        <v>324</v>
      </c>
    </row>
    <row r="1113" spans="4:5" x14ac:dyDescent="0.25">
      <c r="E1113" t="s">
        <v>325</v>
      </c>
    </row>
    <row r="1114" spans="4:5" x14ac:dyDescent="0.25">
      <c r="D1114" t="s">
        <v>73</v>
      </c>
    </row>
    <row r="1115" spans="4:5" x14ac:dyDescent="0.25">
      <c r="D1115" t="s">
        <v>71</v>
      </c>
    </row>
    <row r="1116" spans="4:5" x14ac:dyDescent="0.25">
      <c r="E1116" t="s">
        <v>80</v>
      </c>
    </row>
    <row r="1117" spans="4:5" x14ac:dyDescent="0.25">
      <c r="E1117" t="s">
        <v>179</v>
      </c>
    </row>
    <row r="1118" spans="4:5" x14ac:dyDescent="0.25">
      <c r="E1118" t="s">
        <v>180</v>
      </c>
    </row>
    <row r="1119" spans="4:5" x14ac:dyDescent="0.25">
      <c r="E1119" t="s">
        <v>326</v>
      </c>
    </row>
    <row r="1120" spans="4:5" x14ac:dyDescent="0.25">
      <c r="E1120" t="s">
        <v>229</v>
      </c>
    </row>
    <row r="1121" spans="4:5" x14ac:dyDescent="0.25">
      <c r="D1121" t="s">
        <v>73</v>
      </c>
    </row>
    <row r="1122" spans="4:5" x14ac:dyDescent="0.25">
      <c r="D1122" t="s">
        <v>71</v>
      </c>
    </row>
    <row r="1123" spans="4:5" x14ac:dyDescent="0.25">
      <c r="E1123" t="s">
        <v>79</v>
      </c>
    </row>
    <row r="1124" spans="4:5" x14ac:dyDescent="0.25">
      <c r="E1124" t="s">
        <v>179</v>
      </c>
    </row>
    <row r="1125" spans="4:5" x14ac:dyDescent="0.25">
      <c r="E1125" t="s">
        <v>180</v>
      </c>
    </row>
    <row r="1126" spans="4:5" x14ac:dyDescent="0.25">
      <c r="E1126" t="s">
        <v>327</v>
      </c>
    </row>
    <row r="1127" spans="4:5" x14ac:dyDescent="0.25">
      <c r="E1127" t="s">
        <v>229</v>
      </c>
    </row>
    <row r="1128" spans="4:5" x14ac:dyDescent="0.25">
      <c r="D1128" t="s">
        <v>73</v>
      </c>
    </row>
    <row r="1129" spans="4:5" x14ac:dyDescent="0.25">
      <c r="D1129" t="s">
        <v>71</v>
      </c>
    </row>
    <row r="1130" spans="4:5" x14ac:dyDescent="0.25">
      <c r="E1130" t="s">
        <v>78</v>
      </c>
    </row>
    <row r="1131" spans="4:5" x14ac:dyDescent="0.25">
      <c r="E1131" t="s">
        <v>179</v>
      </c>
    </row>
    <row r="1132" spans="4:5" x14ac:dyDescent="0.25">
      <c r="E1132" t="s">
        <v>180</v>
      </c>
    </row>
    <row r="1133" spans="4:5" x14ac:dyDescent="0.25">
      <c r="E1133" t="s">
        <v>328</v>
      </c>
    </row>
    <row r="1134" spans="4:5" x14ac:dyDescent="0.25">
      <c r="E1134" t="s">
        <v>229</v>
      </c>
    </row>
    <row r="1135" spans="4:5" x14ac:dyDescent="0.25">
      <c r="D1135" t="s">
        <v>73</v>
      </c>
    </row>
    <row r="1136" spans="4:5" x14ac:dyDescent="0.25">
      <c r="D1136" t="s">
        <v>71</v>
      </c>
    </row>
    <row r="1137" spans="2:5" x14ac:dyDescent="0.25">
      <c r="E1137" t="s">
        <v>77</v>
      </c>
    </row>
    <row r="1138" spans="2:5" x14ac:dyDescent="0.25">
      <c r="E1138" t="s">
        <v>179</v>
      </c>
    </row>
    <row r="1139" spans="2:5" x14ac:dyDescent="0.25">
      <c r="E1139" t="s">
        <v>180</v>
      </c>
    </row>
    <row r="1140" spans="2:5" x14ac:dyDescent="0.25">
      <c r="E1140" t="s">
        <v>329</v>
      </c>
    </row>
    <row r="1141" spans="2:5" x14ac:dyDescent="0.25">
      <c r="E1141" t="s">
        <v>229</v>
      </c>
    </row>
    <row r="1142" spans="2:5" x14ac:dyDescent="0.25">
      <c r="D1142" t="s">
        <v>73</v>
      </c>
    </row>
    <row r="1143" spans="2:5" x14ac:dyDescent="0.25">
      <c r="D1143" t="s">
        <v>71</v>
      </c>
    </row>
    <row r="1144" spans="2:5" x14ac:dyDescent="0.25">
      <c r="E1144" t="s">
        <v>76</v>
      </c>
    </row>
    <row r="1145" spans="2:5" x14ac:dyDescent="0.25">
      <c r="E1145" t="s">
        <v>179</v>
      </c>
    </row>
    <row r="1146" spans="2:5" x14ac:dyDescent="0.25">
      <c r="E1146" t="s">
        <v>180</v>
      </c>
    </row>
    <row r="1147" spans="2:5" x14ac:dyDescent="0.25">
      <c r="E1147" t="s">
        <v>330</v>
      </c>
    </row>
    <row r="1148" spans="2:5" x14ac:dyDescent="0.25">
      <c r="E1148" t="s">
        <v>229</v>
      </c>
    </row>
    <row r="1149" spans="2:5" x14ac:dyDescent="0.25">
      <c r="D1149" t="s">
        <v>73</v>
      </c>
    </row>
    <row r="1150" spans="2:5" x14ac:dyDescent="0.25">
      <c r="C1150" t="s">
        <v>177</v>
      </c>
    </row>
    <row r="1151" spans="2:5" x14ac:dyDescent="0.25">
      <c r="B1151" t="s">
        <v>248</v>
      </c>
    </row>
    <row r="1152" spans="2:5" x14ac:dyDescent="0.25">
      <c r="B1152" t="s">
        <v>331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6"/>
  <sheetViews>
    <sheetView workbookViewId="0">
      <selection activeCell="D1" sqref="D1:D1048576"/>
    </sheetView>
  </sheetViews>
  <sheetFormatPr defaultRowHeight="15" x14ac:dyDescent="0.25"/>
  <sheetData>
    <row r="2" spans="2:4" x14ac:dyDescent="0.25">
      <c r="B2" t="s">
        <v>0</v>
      </c>
    </row>
    <row r="4" spans="2:4" x14ac:dyDescent="0.25">
      <c r="B4" t="s">
        <v>1</v>
      </c>
      <c r="C4" t="s">
        <v>2</v>
      </c>
      <c r="D4" t="s">
        <v>10</v>
      </c>
    </row>
    <row r="5" spans="2:4" x14ac:dyDescent="0.25">
      <c r="B5" s="2" t="s">
        <v>3</v>
      </c>
      <c r="C5" s="2" t="s">
        <v>3</v>
      </c>
      <c r="D5" t="str">
        <f ca="1">ChassisDefinition(B5,C5)</f>
        <v xml:space="preserve">&lt;chassisdefinition&gt;_x000D_
	&lt;chassistype&gt;1&lt;/chassistype&gt;_x000D_
	&lt;testingpoints&gt;1&lt;/testingpoints&gt;_x000D_
	&lt;valve&gt;_x000D_
		&lt;valvetype&gt;BigShiny&lt;/valvetype&gt;_x000D_
		&lt;valvex&gt;0.34&lt;/valvex&gt;_x000D_
		&lt;valvey&gt;0.006&lt;/valvey&gt;_x000D_
	&lt;/valve&gt;_x000D_
	&lt;valve&gt;_x000D_
		&lt;valvetype&gt;BigFlat&lt;/valvetype&gt;_x000D_
		&lt;valvex&gt;0.288&lt;/valvex&gt;_x000D_
		&lt;valvey&gt;0.055&lt;/valvey&gt;_x000D_
	&lt;/valve&gt;_x000D_
	&lt;valve&gt;_x000D_
		&lt;valvetype&gt;BigFlat&lt;/valvetype&gt;_x000D_
		&lt;valvex&gt;0.236&lt;/valvex&gt;_x000D_
		&lt;valvey&gt;0.006&lt;/valvey&gt;_x000D_
	&lt;/valve&gt;_x000D_
	&lt;valve&gt;_x000D_
		&lt;valvetype&gt;BigFlat&lt;/valvetype&gt;_x000D_
		&lt;valvex&gt;0.184&lt;/valvex&gt;_x000D_
		&lt;valvey&gt;0.006&lt;/valvey&gt;_x000D_
	&lt;/valve&gt;_x000D_
	&lt;valve&gt;_x000D_
		&lt;valvetype&gt;BigFlat&lt;/valvetype&gt;_x000D_
		&lt;valvex&gt;0.132&lt;/valvex&gt;_x000D_
		&lt;valvey&gt;0.006&lt;/valvey&gt;_x000D_
	&lt;/valve&gt;_x000D_
	&lt;valve&gt;_x000D_
		&lt;valvetype&gt;BigFlat&lt;/valvetype&gt;_x000D_
		&lt;valvex&gt;0.08&lt;/valvex&gt;_x000D_
		&lt;valvey&gt;0.006&lt;/valvey&gt;_x000D_
	&lt;/valve&gt;_x000D_
	&lt;valve&gt;_x000D_
		&lt;valvetype&gt;BigFlat&lt;/valvetype&gt;_x000D_
		&lt;valvex&gt;0.028&lt;/valvex&gt;_x000D_
		&lt;valvey&gt;0.006&lt;/valvey&gt;_x000D_
	&lt;/valve&gt;_x000D_
	&lt;valve&gt;_x000D_
		&lt;valvetype&gt;BigShiny&lt;/valvetype&gt;_x000D_
		&lt;valvex&gt;-0.024&lt;/valvex&gt;_x000D_
		&lt;valvey&gt;0.006&lt;/valvey&gt;_x000D_
	&lt;/valve&gt;_x000D_
	&lt;valve&gt;_x000D_
		&lt;valvetype&gt;BigFlat&lt;/valvetype&gt;_x000D_
		&lt;valvex&gt;-0.076&lt;/valvex&gt;_x000D_
		&lt;valvey&gt;0.006&lt;/valvey&gt;_x000D_
	&lt;/valve&gt;_x000D_
	&lt;valve&gt;_x000D_
		&lt;valvetype&gt;BigShiny&lt;/valvetype&gt;_x000D_
		&lt;valvex&gt;-0.128&lt;/valvex&gt;_x000D_
		&lt;valvey&gt;0.006&lt;/valvey&gt;_x000D_
	&lt;/valve&gt;_x000D_
	&lt;valve&gt;_x000D_
		&lt;valvetype&gt;BigFlat&lt;/valvetype&gt;_x000D_
		&lt;valvex&gt;-0.18&lt;/valvex&gt;_x000D_
		&lt;valvey&gt;0.006&lt;/valvey&gt;_x000D_
	&lt;/valve&gt;_x000D_
	&lt;valve&gt;_x000D_
		&lt;valvetype&gt;BigShiny&lt;/valvetype&gt;_x000D_
		&lt;valvex&gt;-0.232&lt;/valvex&gt;_x000D_
		&lt;valvey&gt;0.006&lt;/valvey&gt;_x000D_
	&lt;/valve&gt;_x000D_
	&lt;valve&gt;_x000D_
		&lt;valvetype&gt;BigShiny&lt;/valvetype&gt;_x000D_
		&lt;valvex&gt;-0.284&lt;/valvex&gt;_x000D_
		&lt;valvey&gt;0.055&lt;/valvey&gt;_x000D_
	&lt;/valve&gt;_x000D_
	&lt;valve&gt;_x000D_
		&lt;valvetype&gt;BigFlat&lt;/valvetype&gt;_x000D_
		&lt;valvex&gt;-0.336&lt;/valvex&gt;_x000D_
		&lt;valvey&gt;0.006&lt;/valvey&gt;_x000D_
	&lt;/valve&gt;_x000D_
	&lt;valve&gt;_x000D_
		&lt;valvetype&gt;SmallRed&lt;/valvetype&gt;_x000D_
		&lt;valvex&gt;0.21&lt;/valvex&gt;_x000D_
		&lt;valvey&gt;0.055&lt;/valvey&gt;_x000D_
	&lt;/valve&gt;_x000D_
	&lt;valve&gt;_x000D_
		&lt;valvetype&gt;SmallRed&lt;/valvetype&gt;_x000D_
		&lt;valvex&gt;0.158&lt;/valvex&gt;_x000D_
		&lt;valvey&gt;0.055&lt;/valvey&gt;_x000D_
	&lt;/valve&gt;_x000D_
	&lt;valve&gt;_x000D_
		&lt;valvetype&gt;SmallBlack&lt;/valvetype&gt;_x000D_
		&lt;valvex&gt;0.106&lt;/valvex&gt;_x000D_
		&lt;valvey&gt;0.055&lt;/valvey&gt;_x000D_
	&lt;/valve&gt;_x000D_
	&lt;valve&gt;_x000D_
		&lt;valvetype&gt;SmallCream&lt;/valvetype&gt;_x000D_
		&lt;valvex&gt;0.054&lt;/valvex&gt;_x000D_
		&lt;valvey&gt;0.055&lt;/valvey&gt;_x000D_
	&lt;/valve&gt;_x000D_
	&lt;valve&gt;_x000D_
		&lt;valvetype&gt;SmallBlack&lt;/valvetype&gt;_x000D_
		&lt;valvex&gt;0.002&lt;/valvex&gt;_x000D_
		&lt;valvey&gt;0.055&lt;/valvey&gt;_x000D_
	&lt;/valve&gt;_x000D_
	&lt;valve&gt;_x000D_
		&lt;valvetype&gt;SmallCream&lt;/valvetype&gt;_x000D_
		&lt;valvex&gt;-0.05&lt;/valvex&gt;_x000D_
		&lt;valvey&gt;0.055&lt;/valvey&gt;_x000D_
	&lt;/valve&gt;_x000D_
	&lt;valve&gt;_x000D_
		&lt;valvetype&gt;SmallRed&lt;/valvetype&gt;_x000D_
		&lt;valvex&gt;-0.102&lt;/valvex&gt;_x000D_
		&lt;valvey&gt;0.055&lt;/valvey&gt;_x000D_
	&lt;/valve&gt;_x000D_
	&lt;valve&gt;_x000D_
		&lt;valvetype&gt;SmallCream&lt;/valvetype&gt;_x000D_
		&lt;valvex&gt;-0.154&lt;/valvex&gt;_x000D_
		&lt;valvey&gt;0.055&lt;/valvey&gt;_x000D_
	&lt;/valve&gt;_x000D_
	&lt;valve&gt;_x000D_
		&lt;valvetype&gt;SmallRed&lt;/valvetype&gt;_x000D_
		&lt;valvex&gt;-0.206&lt;/valvex&gt;_x000D_
		&lt;valvey&gt;0.055&lt;/valvey&gt;_x000D_
	&lt;/valve&gt;_x000D_
	&lt;valve&gt;_x000D_
		&lt;valvetype&gt;SmallBlack&lt;/valvetype&gt;_x000D_
		&lt;valvex&gt;-0.258&lt;/valvex&gt;_x000D_
		&lt;valvey&gt;0.055&lt;/valvey&gt;_x000D_
	&lt;/valve&gt;_x000D_
&lt;/chassisdefinition&gt;_x000D_
</v>
      </c>
    </row>
    <row r="6" spans="2:4" x14ac:dyDescent="0.25">
      <c r="B6" s="2" t="s">
        <v>87</v>
      </c>
      <c r="C6" s="2" t="s">
        <v>13</v>
      </c>
      <c r="D6" t="str">
        <f>ChassisDefinition(B6,C6)</f>
        <v xml:space="preserve">&lt;chassisdefinition&gt;_x000D_
	&lt;chassistype&gt;2&lt;/chassistype&gt;_x000D_
	&lt;testingpoints&gt;4&lt;/testingpoints&gt;_x000D_
&lt;/chassisdefinition&gt;_x000D_
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2"/>
  <sheetViews>
    <sheetView workbookViewId="0">
      <selection activeCell="F5" sqref="F5"/>
    </sheetView>
  </sheetViews>
  <sheetFormatPr defaultRowHeight="15" x14ac:dyDescent="0.25"/>
  <cols>
    <col min="6" max="6" width="64.7109375" customWidth="1"/>
  </cols>
  <sheetData>
    <row r="1" spans="1:8" x14ac:dyDescent="0.25">
      <c r="A1">
        <v>5</v>
      </c>
    </row>
    <row r="2" spans="1:8" x14ac:dyDescent="0.25">
      <c r="B2" t="s">
        <v>4</v>
      </c>
      <c r="H2" t="s">
        <v>11</v>
      </c>
    </row>
    <row r="4" spans="1:8" x14ac:dyDescent="0.25">
      <c r="B4" t="s">
        <v>5</v>
      </c>
      <c r="C4" t="s">
        <v>6</v>
      </c>
      <c r="D4" t="s">
        <v>7</v>
      </c>
      <c r="E4" t="s">
        <v>8</v>
      </c>
      <c r="F4" t="s">
        <v>9</v>
      </c>
      <c r="G4" t="s">
        <v>14</v>
      </c>
    </row>
    <row r="5" spans="1:8" x14ac:dyDescent="0.25">
      <c r="B5" s="2" t="s">
        <v>3</v>
      </c>
      <c r="C5" s="3" t="str">
        <f ca="1">IF(G5&lt;1/$A$1,"SmallRed",IF(G5&lt;2/$A$1,"SmallBlack",IF(G5&lt;3/$A$1,"SmallCream",IF(G5&lt;4/$A$1,"BigFlat","BigShiny"))))</f>
        <v>BigShiny</v>
      </c>
      <c r="D5">
        <v>0.34</v>
      </c>
      <c r="E5">
        <v>6.0000000000000001E-3</v>
      </c>
      <c r="F5" t="str">
        <f ca="1">SINGLEVALVE(C5,D5,E5)</f>
        <v xml:space="preserve">	&lt;valve&gt;_x000D_
		&lt;valvetype&gt;BigShiny&lt;/valvetype&gt;_x000D_
		&lt;valvex&gt;0.34&lt;/valvex&gt;_x000D_
		&lt;valvey&gt;0.006&lt;/valvey&gt;_x000D_
	&lt;/valve&gt;_x000D_
</v>
      </c>
      <c r="G5">
        <f ca="1">RANDBETWEEN(6,9)/10</f>
        <v>0.8</v>
      </c>
    </row>
    <row r="6" spans="1:8" x14ac:dyDescent="0.25">
      <c r="B6" s="2" t="s">
        <v>3</v>
      </c>
      <c r="C6" s="3" t="str">
        <f ca="1">IF(G6&lt;1/$A$1,"SmallRed",IF(G6&lt;2/$A$1,"SmallBlack",IF(G6&lt;3/$A$1,"SmallCream",IF(G6&lt;4/$A$1,"BigFlat","BigShiny"))))</f>
        <v>BigFlat</v>
      </c>
      <c r="D6">
        <f>D5-0.052</f>
        <v>0.28800000000000003</v>
      </c>
      <c r="E6">
        <v>5.5E-2</v>
      </c>
      <c r="F6" t="str">
        <f ca="1">SINGLEVALVE(C6,D6,E6)</f>
        <v xml:space="preserve">	&lt;valve&gt;_x000D_
		&lt;valvetype&gt;BigFlat&lt;/valvetype&gt;_x000D_
		&lt;valvex&gt;0.288&lt;/valvex&gt;_x000D_
		&lt;valvey&gt;0.055&lt;/valvey&gt;_x000D_
	&lt;/valve&gt;_x000D_
</v>
      </c>
      <c r="G6">
        <f t="shared" ref="G6:G42" ca="1" si="0">RANDBETWEEN(6,9)/10</f>
        <v>0.7</v>
      </c>
    </row>
    <row r="7" spans="1:8" x14ac:dyDescent="0.25">
      <c r="B7" s="2" t="s">
        <v>3</v>
      </c>
      <c r="C7" s="3" t="str">
        <f t="shared" ref="C7:C28" ca="1" si="1">IF(G7&lt;1/$A$1,"SmallRed",IF(G7&lt;2/$A$1,"SmallBlack",IF(G7&lt;3/$A$1,"SmallCream",IF(G7&lt;4/$A$1,"BigFlat","BigShiny"))))</f>
        <v>BigFlat</v>
      </c>
      <c r="D7">
        <f t="shared" ref="D7:D28" si="2">D6-0.052</f>
        <v>0.23600000000000004</v>
      </c>
      <c r="E7">
        <v>6.0000000000000001E-3</v>
      </c>
      <c r="F7" t="str">
        <f ca="1">SINGLEVALVE(C7,D7,E7)</f>
        <v xml:space="preserve">	&lt;valve&gt;_x000D_
		&lt;valvetype&gt;BigFlat&lt;/valvetype&gt;_x000D_
		&lt;valvex&gt;0.236&lt;/valvex&gt;_x000D_
		&lt;valvey&gt;0.006&lt;/valvey&gt;_x000D_
	&lt;/valve&gt;_x000D_
</v>
      </c>
      <c r="G7">
        <f t="shared" ca="1" si="0"/>
        <v>0.6</v>
      </c>
    </row>
    <row r="8" spans="1:8" x14ac:dyDescent="0.25">
      <c r="B8" s="2" t="s">
        <v>3</v>
      </c>
      <c r="C8" s="3" t="str">
        <f t="shared" ca="1" si="1"/>
        <v>BigFlat</v>
      </c>
      <c r="D8">
        <f t="shared" si="2"/>
        <v>0.18400000000000005</v>
      </c>
      <c r="E8">
        <v>6.0000000000000001E-3</v>
      </c>
      <c r="F8" t="str">
        <f ca="1">SINGLEVALVE(C8,D8,E8)</f>
        <v xml:space="preserve">	&lt;valve&gt;_x000D_
		&lt;valvetype&gt;BigFlat&lt;/valvetype&gt;_x000D_
		&lt;valvex&gt;0.184&lt;/valvex&gt;_x000D_
		&lt;valvey&gt;0.006&lt;/valvey&gt;_x000D_
	&lt;/valve&gt;_x000D_
</v>
      </c>
      <c r="G8">
        <f t="shared" ca="1" si="0"/>
        <v>0.6</v>
      </c>
    </row>
    <row r="9" spans="1:8" x14ac:dyDescent="0.25">
      <c r="B9" s="2" t="s">
        <v>3</v>
      </c>
      <c r="C9" s="3" t="str">
        <f t="shared" ca="1" si="1"/>
        <v>BigFlat</v>
      </c>
      <c r="D9">
        <f t="shared" si="2"/>
        <v>0.13200000000000006</v>
      </c>
      <c r="E9">
        <v>6.0000000000000001E-3</v>
      </c>
      <c r="F9" t="str">
        <f ca="1">SINGLEVALVE(C9,D9,E9)</f>
        <v xml:space="preserve">	&lt;valve&gt;_x000D_
		&lt;valvetype&gt;BigFlat&lt;/valvetype&gt;_x000D_
		&lt;valvex&gt;0.132&lt;/valvex&gt;_x000D_
		&lt;valvey&gt;0.006&lt;/valvey&gt;_x000D_
	&lt;/valve&gt;_x000D_
</v>
      </c>
      <c r="G9">
        <f t="shared" ca="1" si="0"/>
        <v>0.7</v>
      </c>
    </row>
    <row r="10" spans="1:8" x14ac:dyDescent="0.25">
      <c r="B10" s="2" t="s">
        <v>3</v>
      </c>
      <c r="C10" s="3" t="str">
        <f t="shared" ca="1" si="1"/>
        <v>BigFlat</v>
      </c>
      <c r="D10">
        <f t="shared" si="2"/>
        <v>8.0000000000000071E-2</v>
      </c>
      <c r="E10">
        <v>6.0000000000000001E-3</v>
      </c>
      <c r="F10" t="str">
        <f ca="1">SINGLEVALVE(C10,D10,E10)</f>
        <v xml:space="preserve">	&lt;valve&gt;_x000D_
		&lt;valvetype&gt;BigFlat&lt;/valvetype&gt;_x000D_
		&lt;valvex&gt;0.08&lt;/valvex&gt;_x000D_
		&lt;valvey&gt;0.006&lt;/valvey&gt;_x000D_
	&lt;/valve&gt;_x000D_
</v>
      </c>
      <c r="G10">
        <f t="shared" ca="1" si="0"/>
        <v>0.6</v>
      </c>
    </row>
    <row r="11" spans="1:8" x14ac:dyDescent="0.25">
      <c r="B11" s="2" t="s">
        <v>3</v>
      </c>
      <c r="C11" s="3" t="str">
        <f t="shared" ca="1" si="1"/>
        <v>BigFlat</v>
      </c>
      <c r="D11">
        <f t="shared" si="2"/>
        <v>2.8000000000000073E-2</v>
      </c>
      <c r="E11">
        <v>6.0000000000000001E-3</v>
      </c>
      <c r="F11" t="str">
        <f ca="1">SINGLEVALVE(C11,D11,E11)</f>
        <v xml:space="preserve">	&lt;valve&gt;_x000D_
		&lt;valvetype&gt;BigFlat&lt;/valvetype&gt;_x000D_
		&lt;valvex&gt;0.028&lt;/valvex&gt;_x000D_
		&lt;valvey&gt;0.006&lt;/valvey&gt;_x000D_
	&lt;/valve&gt;_x000D_
</v>
      </c>
      <c r="G11">
        <f t="shared" ca="1" si="0"/>
        <v>0.6</v>
      </c>
    </row>
    <row r="12" spans="1:8" x14ac:dyDescent="0.25">
      <c r="B12" s="2" t="s">
        <v>3</v>
      </c>
      <c r="C12" s="3" t="str">
        <f t="shared" ca="1" si="1"/>
        <v>BigShiny</v>
      </c>
      <c r="D12">
        <f t="shared" si="2"/>
        <v>-2.3999999999999924E-2</v>
      </c>
      <c r="E12">
        <v>6.0000000000000001E-3</v>
      </c>
      <c r="F12" t="str">
        <f ca="1">SINGLEVALVE(C12,D12,E12)</f>
        <v xml:space="preserve">	&lt;valve&gt;_x000D_
		&lt;valvetype&gt;BigShiny&lt;/valvetype&gt;_x000D_
		&lt;valvex&gt;-0.024&lt;/valvex&gt;_x000D_
		&lt;valvey&gt;0.006&lt;/valvey&gt;_x000D_
	&lt;/valve&gt;_x000D_
</v>
      </c>
      <c r="G12">
        <f t="shared" ca="1" si="0"/>
        <v>0.8</v>
      </c>
    </row>
    <row r="13" spans="1:8" x14ac:dyDescent="0.25">
      <c r="B13" s="2" t="s">
        <v>3</v>
      </c>
      <c r="C13" s="3" t="str">
        <f t="shared" ca="1" si="1"/>
        <v>BigFlat</v>
      </c>
      <c r="D13">
        <f t="shared" si="2"/>
        <v>-7.5999999999999929E-2</v>
      </c>
      <c r="E13">
        <v>6.0000000000000001E-3</v>
      </c>
      <c r="F13" t="str">
        <f ca="1">SINGLEVALVE(C13,D13,E13)</f>
        <v xml:space="preserve">	&lt;valve&gt;_x000D_
		&lt;valvetype&gt;BigFlat&lt;/valvetype&gt;_x000D_
		&lt;valvex&gt;-0.076&lt;/valvex&gt;_x000D_
		&lt;valvey&gt;0.006&lt;/valvey&gt;_x000D_
	&lt;/valve&gt;_x000D_
</v>
      </c>
      <c r="G13">
        <f t="shared" ca="1" si="0"/>
        <v>0.6</v>
      </c>
    </row>
    <row r="14" spans="1:8" x14ac:dyDescent="0.25">
      <c r="B14" s="2" t="s">
        <v>3</v>
      </c>
      <c r="C14" s="3" t="str">
        <f t="shared" ca="1" si="1"/>
        <v>BigShiny</v>
      </c>
      <c r="D14">
        <f t="shared" si="2"/>
        <v>-0.12799999999999992</v>
      </c>
      <c r="E14">
        <v>6.0000000000000001E-3</v>
      </c>
      <c r="F14" t="str">
        <f ca="1">SINGLEVALVE(C14,D14,E14)</f>
        <v xml:space="preserve">	&lt;valve&gt;_x000D_
		&lt;valvetype&gt;BigShiny&lt;/valvetype&gt;_x000D_
		&lt;valvex&gt;-0.128&lt;/valvex&gt;_x000D_
		&lt;valvey&gt;0.006&lt;/valvey&gt;_x000D_
	&lt;/valve&gt;_x000D_
</v>
      </c>
      <c r="G14">
        <f t="shared" ca="1" si="0"/>
        <v>0.8</v>
      </c>
    </row>
    <row r="15" spans="1:8" x14ac:dyDescent="0.25">
      <c r="B15" s="2" t="s">
        <v>3</v>
      </c>
      <c r="C15" s="3" t="str">
        <f t="shared" ca="1" si="1"/>
        <v>BigFlat</v>
      </c>
      <c r="D15">
        <f t="shared" si="2"/>
        <v>-0.17999999999999991</v>
      </c>
      <c r="E15">
        <v>6.0000000000000001E-3</v>
      </c>
      <c r="F15" t="str">
        <f ca="1">SINGLEVALVE(C15,D15,E15)</f>
        <v xml:space="preserve">	&lt;valve&gt;_x000D_
		&lt;valvetype&gt;BigFlat&lt;/valvetype&gt;_x000D_
		&lt;valvex&gt;-0.18&lt;/valvex&gt;_x000D_
		&lt;valvey&gt;0.006&lt;/valvey&gt;_x000D_
	&lt;/valve&gt;_x000D_
</v>
      </c>
      <c r="G15">
        <f t="shared" ca="1" si="0"/>
        <v>0.7</v>
      </c>
    </row>
    <row r="16" spans="1:8" x14ac:dyDescent="0.25">
      <c r="B16" s="2" t="s">
        <v>3</v>
      </c>
      <c r="C16" s="3" t="str">
        <f t="shared" ca="1" si="1"/>
        <v>BigShiny</v>
      </c>
      <c r="D16">
        <f t="shared" si="2"/>
        <v>-0.2319999999999999</v>
      </c>
      <c r="E16">
        <v>6.0000000000000001E-3</v>
      </c>
      <c r="F16" t="str">
        <f ca="1">SINGLEVALVE(C16,D16,E16)</f>
        <v xml:space="preserve">	&lt;valve&gt;_x000D_
		&lt;valvetype&gt;BigShiny&lt;/valvetype&gt;_x000D_
		&lt;valvex&gt;-0.232&lt;/valvex&gt;_x000D_
		&lt;valvey&gt;0.006&lt;/valvey&gt;_x000D_
	&lt;/valve&gt;_x000D_
</v>
      </c>
      <c r="G16">
        <f t="shared" ca="1" si="0"/>
        <v>0.9</v>
      </c>
    </row>
    <row r="17" spans="2:7" x14ac:dyDescent="0.25">
      <c r="B17" s="2" t="s">
        <v>3</v>
      </c>
      <c r="C17" s="3" t="str">
        <f t="shared" ca="1" si="1"/>
        <v>BigShiny</v>
      </c>
      <c r="D17">
        <f>D16-0.052</f>
        <v>-0.28399999999999992</v>
      </c>
      <c r="E17">
        <v>5.5E-2</v>
      </c>
      <c r="F17" t="str">
        <f ca="1">SINGLEVALVE(C17,D17,E17)</f>
        <v xml:space="preserve">	&lt;valve&gt;_x000D_
		&lt;valvetype&gt;BigShiny&lt;/valvetype&gt;_x000D_
		&lt;valvex&gt;-0.284&lt;/valvex&gt;_x000D_
		&lt;valvey&gt;0.055&lt;/valvey&gt;_x000D_
	&lt;/valve&gt;_x000D_
</v>
      </c>
      <c r="G17">
        <f t="shared" ca="1" si="0"/>
        <v>0.9</v>
      </c>
    </row>
    <row r="18" spans="2:7" x14ac:dyDescent="0.25">
      <c r="B18" s="2" t="s">
        <v>3</v>
      </c>
      <c r="C18" s="3" t="str">
        <f t="shared" ca="1" si="1"/>
        <v>BigFlat</v>
      </c>
      <c r="D18">
        <f t="shared" si="2"/>
        <v>-0.33599999999999991</v>
      </c>
      <c r="E18">
        <v>6.0000000000000001E-3</v>
      </c>
      <c r="F18" t="str">
        <f ca="1">SINGLEVALVE(C18,D18,E18)</f>
        <v xml:space="preserve">	&lt;valve&gt;_x000D_
		&lt;valvetype&gt;BigFlat&lt;/valvetype&gt;_x000D_
		&lt;valvex&gt;-0.336&lt;/valvex&gt;_x000D_
		&lt;valvey&gt;0.006&lt;/valvey&gt;_x000D_
	&lt;/valve&gt;_x000D_
</v>
      </c>
      <c r="G18">
        <f t="shared" ca="1" si="0"/>
        <v>0.7</v>
      </c>
    </row>
    <row r="19" spans="2:7" x14ac:dyDescent="0.25">
      <c r="B19" s="2" t="s">
        <v>3</v>
      </c>
      <c r="C19" s="3" t="str">
        <f t="shared" ca="1" si="1"/>
        <v>SmallRed</v>
      </c>
      <c r="D19">
        <f>D5-2.5*0.052</f>
        <v>0.21000000000000002</v>
      </c>
      <c r="E19">
        <v>5.5E-2</v>
      </c>
      <c r="F19" t="str">
        <f ca="1">SINGLEVALVE(C19,D19,E19)</f>
        <v xml:space="preserve">	&lt;valve&gt;_x000D_
		&lt;valvetype&gt;SmallRed&lt;/valvetype&gt;_x000D_
		&lt;valvex&gt;0.21&lt;/valvex&gt;_x000D_
		&lt;valvey&gt;0.055&lt;/valvey&gt;_x000D_
	&lt;/valve&gt;_x000D_
</v>
      </c>
      <c r="G19">
        <f ca="1">RANDBETWEEN(0,5)/10</f>
        <v>0.1</v>
      </c>
    </row>
    <row r="20" spans="2:7" x14ac:dyDescent="0.25">
      <c r="B20" s="2" t="s">
        <v>3</v>
      </c>
      <c r="C20" s="3" t="str">
        <f t="shared" ca="1" si="1"/>
        <v>SmallRed</v>
      </c>
      <c r="D20">
        <f t="shared" si="2"/>
        <v>0.15800000000000003</v>
      </c>
      <c r="E20">
        <v>5.5E-2</v>
      </c>
      <c r="F20" t="str">
        <f ca="1">SINGLEVALVE(C20,D20,E20)</f>
        <v xml:space="preserve">	&lt;valve&gt;_x000D_
		&lt;valvetype&gt;SmallRed&lt;/valvetype&gt;_x000D_
		&lt;valvex&gt;0.158&lt;/valvex&gt;_x000D_
		&lt;valvey&gt;0.055&lt;/valvey&gt;_x000D_
	&lt;/valve&gt;_x000D_
</v>
      </c>
      <c r="G20">
        <f t="shared" ref="G20:G28" ca="1" si="3">RANDBETWEEN(0,5)/10</f>
        <v>0</v>
      </c>
    </row>
    <row r="21" spans="2:7" x14ac:dyDescent="0.25">
      <c r="B21" s="2" t="s">
        <v>3</v>
      </c>
      <c r="C21" s="3" t="str">
        <f t="shared" ca="1" si="1"/>
        <v>SmallBlack</v>
      </c>
      <c r="D21">
        <f t="shared" si="2"/>
        <v>0.10600000000000004</v>
      </c>
      <c r="E21">
        <v>5.5E-2</v>
      </c>
      <c r="F21" t="str">
        <f ca="1">SINGLEVALVE(C21,D21,E21)</f>
        <v xml:space="preserve">	&lt;valve&gt;_x000D_
		&lt;valvetype&gt;SmallBlack&lt;/valvetype&gt;_x000D_
		&lt;valvex&gt;0.106&lt;/valvex&gt;_x000D_
		&lt;valvey&gt;0.055&lt;/valvey&gt;_x000D_
	&lt;/valve&gt;_x000D_
</v>
      </c>
      <c r="G21">
        <f t="shared" ca="1" si="3"/>
        <v>0.3</v>
      </c>
    </row>
    <row r="22" spans="2:7" x14ac:dyDescent="0.25">
      <c r="B22" s="2" t="s">
        <v>3</v>
      </c>
      <c r="C22" s="3" t="str">
        <f t="shared" ca="1" si="1"/>
        <v>SmallCream</v>
      </c>
      <c r="D22">
        <f t="shared" si="2"/>
        <v>5.4000000000000041E-2</v>
      </c>
      <c r="E22">
        <v>5.5E-2</v>
      </c>
      <c r="F22" t="str">
        <f ca="1">SINGLEVALVE(C22,D22,E22)</f>
        <v xml:space="preserve">	&lt;valve&gt;_x000D_
		&lt;valvetype&gt;SmallCream&lt;/valvetype&gt;_x000D_
		&lt;valvex&gt;0.054&lt;/valvex&gt;_x000D_
		&lt;valvey&gt;0.055&lt;/valvey&gt;_x000D_
	&lt;/valve&gt;_x000D_
</v>
      </c>
      <c r="G22">
        <f t="shared" ca="1" si="3"/>
        <v>0.4</v>
      </c>
    </row>
    <row r="23" spans="2:7" x14ac:dyDescent="0.25">
      <c r="B23" s="2" t="s">
        <v>3</v>
      </c>
      <c r="C23" s="3" t="str">
        <f t="shared" ca="1" si="1"/>
        <v>SmallBlack</v>
      </c>
      <c r="D23">
        <f t="shared" si="2"/>
        <v>2.0000000000000434E-3</v>
      </c>
      <c r="E23">
        <v>5.5E-2</v>
      </c>
      <c r="F23" t="str">
        <f ca="1">SINGLEVALVE(C23,D23,E23)</f>
        <v xml:space="preserve">	&lt;valve&gt;_x000D_
		&lt;valvetype&gt;SmallBlack&lt;/valvetype&gt;_x000D_
		&lt;valvex&gt;0.002&lt;/valvex&gt;_x000D_
		&lt;valvey&gt;0.055&lt;/valvey&gt;_x000D_
	&lt;/valve&gt;_x000D_
</v>
      </c>
      <c r="G23">
        <f t="shared" ca="1" si="3"/>
        <v>0.2</v>
      </c>
    </row>
    <row r="24" spans="2:7" x14ac:dyDescent="0.25">
      <c r="B24" s="2" t="s">
        <v>3</v>
      </c>
      <c r="C24" s="3" t="str">
        <f t="shared" ca="1" si="1"/>
        <v>SmallCream</v>
      </c>
      <c r="D24">
        <f t="shared" si="2"/>
        <v>-4.9999999999999954E-2</v>
      </c>
      <c r="E24">
        <v>5.5E-2</v>
      </c>
      <c r="F24" t="str">
        <f ca="1">SINGLEVALVE(C24,D24,E24)</f>
        <v xml:space="preserve">	&lt;valve&gt;_x000D_
		&lt;valvetype&gt;SmallCream&lt;/valvetype&gt;_x000D_
		&lt;valvex&gt;-0.05&lt;/valvex&gt;_x000D_
		&lt;valvey&gt;0.055&lt;/valvey&gt;_x000D_
	&lt;/valve&gt;_x000D_
</v>
      </c>
      <c r="G24">
        <f t="shared" ca="1" si="3"/>
        <v>0.5</v>
      </c>
    </row>
    <row r="25" spans="2:7" x14ac:dyDescent="0.25">
      <c r="B25" s="2" t="s">
        <v>3</v>
      </c>
      <c r="C25" s="3" t="str">
        <f t="shared" ca="1" si="1"/>
        <v>SmallRed</v>
      </c>
      <c r="D25">
        <f t="shared" si="2"/>
        <v>-0.10199999999999995</v>
      </c>
      <c r="E25">
        <v>5.5E-2</v>
      </c>
      <c r="F25" t="str">
        <f ca="1">SINGLEVALVE(C25,D25,E25)</f>
        <v xml:space="preserve">	&lt;valve&gt;_x000D_
		&lt;valvetype&gt;SmallRed&lt;/valvetype&gt;_x000D_
		&lt;valvex&gt;-0.102&lt;/valvex&gt;_x000D_
		&lt;valvey&gt;0.055&lt;/valvey&gt;_x000D_
	&lt;/valve&gt;_x000D_
</v>
      </c>
      <c r="G25">
        <f t="shared" ca="1" si="3"/>
        <v>0</v>
      </c>
    </row>
    <row r="26" spans="2:7" x14ac:dyDescent="0.25">
      <c r="B26" s="2" t="s">
        <v>3</v>
      </c>
      <c r="C26" s="3" t="str">
        <f t="shared" ca="1" si="1"/>
        <v>SmallCream</v>
      </c>
      <c r="D26">
        <f t="shared" si="2"/>
        <v>-0.15399999999999994</v>
      </c>
      <c r="E26">
        <v>5.5E-2</v>
      </c>
      <c r="F26" t="str">
        <f ca="1">SINGLEVALVE(C26,D26,E26)</f>
        <v xml:space="preserve">	&lt;valve&gt;_x000D_
		&lt;valvetype&gt;SmallCream&lt;/valvetype&gt;_x000D_
		&lt;valvex&gt;-0.154&lt;/valvex&gt;_x000D_
		&lt;valvey&gt;0.055&lt;/valvey&gt;_x000D_
	&lt;/valve&gt;_x000D_
</v>
      </c>
      <c r="G26">
        <f t="shared" ca="1" si="3"/>
        <v>0.4</v>
      </c>
    </row>
    <row r="27" spans="2:7" x14ac:dyDescent="0.25">
      <c r="B27" s="2" t="s">
        <v>3</v>
      </c>
      <c r="C27" s="3" t="str">
        <f t="shared" ca="1" si="1"/>
        <v>SmallRed</v>
      </c>
      <c r="D27">
        <f t="shared" si="2"/>
        <v>-0.20599999999999993</v>
      </c>
      <c r="E27">
        <v>5.5E-2</v>
      </c>
      <c r="F27" t="str">
        <f ca="1">SINGLEVALVE(C27,D27,E27)</f>
        <v xml:space="preserve">	&lt;valve&gt;_x000D_
		&lt;valvetype&gt;SmallRed&lt;/valvetype&gt;_x000D_
		&lt;valvex&gt;-0.206&lt;/valvex&gt;_x000D_
		&lt;valvey&gt;0.055&lt;/valvey&gt;_x000D_
	&lt;/valve&gt;_x000D_
</v>
      </c>
      <c r="G27">
        <f t="shared" ca="1" si="3"/>
        <v>0.1</v>
      </c>
    </row>
    <row r="28" spans="2:7" x14ac:dyDescent="0.25">
      <c r="B28" s="2" t="s">
        <v>3</v>
      </c>
      <c r="C28" s="3" t="str">
        <f t="shared" ca="1" si="1"/>
        <v>SmallBlack</v>
      </c>
      <c r="D28">
        <f t="shared" si="2"/>
        <v>-0.25799999999999995</v>
      </c>
      <c r="E28">
        <v>5.5E-2</v>
      </c>
      <c r="F28" t="str">
        <f ca="1">SINGLEVALVE(C28,D28,E28)</f>
        <v xml:space="preserve">	&lt;valve&gt;_x000D_
		&lt;valvetype&gt;SmallBlack&lt;/valvetype&gt;_x000D_
		&lt;valvex&gt;-0.258&lt;/valvex&gt;_x000D_
		&lt;valvey&gt;0.055&lt;/valvey&gt;_x000D_
	&lt;/valve&gt;_x000D_
</v>
      </c>
      <c r="G28">
        <f t="shared" ca="1" si="3"/>
        <v>0.3</v>
      </c>
    </row>
    <row r="29" spans="2:7" x14ac:dyDescent="0.25">
      <c r="B29" s="2" t="s">
        <v>12</v>
      </c>
      <c r="C29" s="3" t="str">
        <f ca="1">IF(G29&lt;1/$A$1,"SmallRed",IF(G29&lt;2/$A$1,"SmallBlack",IF(G29&lt;3/$A$1,"SmallCream",IF(G29&lt;4/$A$1,"BigFlat","BigShiny"))))</f>
        <v>BigFlat</v>
      </c>
      <c r="D29">
        <v>0.34</v>
      </c>
      <c r="E29">
        <v>6.0000000000000001E-3</v>
      </c>
      <c r="F29" t="str">
        <f ca="1">SINGLEVALVE(C29,D29,E29)</f>
        <v xml:space="preserve">	&lt;valve&gt;_x000D_
		&lt;valvetype&gt;BigFlat&lt;/valvetype&gt;_x000D_
		&lt;valvex&gt;0.34&lt;/valvex&gt;_x000D_
		&lt;valvey&gt;0.006&lt;/valvey&gt;_x000D_
	&lt;/valve&gt;_x000D_
</v>
      </c>
      <c r="G29">
        <f ca="1">RANDBETWEEN(6,9)/10</f>
        <v>0.7</v>
      </c>
    </row>
    <row r="30" spans="2:7" x14ac:dyDescent="0.25">
      <c r="B30" s="2" t="s">
        <v>12</v>
      </c>
      <c r="C30" s="3" t="str">
        <f ca="1">IF(G30&lt;1/$A$1,"SmallRed",IF(G30&lt;2/$A$1,"SmallBlack",IF(G30&lt;3/$A$1,"SmallCream",IF(G30&lt;4/$A$1,"BigFlat","BigShiny"))))</f>
        <v>BigFlat</v>
      </c>
      <c r="D30">
        <f>D29-0.052</f>
        <v>0.28800000000000003</v>
      </c>
      <c r="E30">
        <v>5.5E-2</v>
      </c>
      <c r="F30" t="str">
        <f ca="1">SINGLEVALVE(C30,D30,E30)</f>
        <v xml:space="preserve">	&lt;valve&gt;_x000D_
		&lt;valvetype&gt;BigFlat&lt;/valvetype&gt;_x000D_
		&lt;valvex&gt;0.288&lt;/valvex&gt;_x000D_
		&lt;valvey&gt;0.055&lt;/valvey&gt;_x000D_
	&lt;/valve&gt;_x000D_
</v>
      </c>
      <c r="G30">
        <f t="shared" ca="1" si="0"/>
        <v>0.6</v>
      </c>
    </row>
    <row r="31" spans="2:7" x14ac:dyDescent="0.25">
      <c r="B31" s="2" t="s">
        <v>12</v>
      </c>
      <c r="C31" s="3" t="str">
        <f t="shared" ref="C31:C52" ca="1" si="4">IF(G31&lt;1/$A$1,"SmallRed",IF(G31&lt;2/$A$1,"SmallBlack",IF(G31&lt;3/$A$1,"SmallCream",IF(G31&lt;4/$A$1,"BigFlat","BigShiny"))))</f>
        <v>BigFlat</v>
      </c>
      <c r="D31">
        <f t="shared" ref="D31:D40" si="5">D30-0.052</f>
        <v>0.23600000000000004</v>
      </c>
      <c r="E31">
        <v>6.0000000000000001E-3</v>
      </c>
      <c r="F31" t="str">
        <f ca="1">SINGLEVALVE(C31,D31,E31)</f>
        <v xml:space="preserve">	&lt;valve&gt;_x000D_
		&lt;valvetype&gt;BigFlat&lt;/valvetype&gt;_x000D_
		&lt;valvex&gt;0.236&lt;/valvex&gt;_x000D_
		&lt;valvey&gt;0.006&lt;/valvey&gt;_x000D_
	&lt;/valve&gt;_x000D_
</v>
      </c>
      <c r="G31">
        <f t="shared" ca="1" si="0"/>
        <v>0.6</v>
      </c>
    </row>
    <row r="32" spans="2:7" x14ac:dyDescent="0.25">
      <c r="B32" s="2" t="s">
        <v>12</v>
      </c>
      <c r="C32" s="3" t="str">
        <f t="shared" ca="1" si="4"/>
        <v>BigShiny</v>
      </c>
      <c r="D32">
        <f t="shared" si="5"/>
        <v>0.18400000000000005</v>
      </c>
      <c r="E32">
        <v>6.0000000000000001E-3</v>
      </c>
      <c r="F32" t="str">
        <f ca="1">SINGLEVALVE(C32,D32,E32)</f>
        <v xml:space="preserve">	&lt;valve&gt;_x000D_
		&lt;valvetype&gt;BigShiny&lt;/valvetype&gt;_x000D_
		&lt;valvex&gt;0.184&lt;/valvex&gt;_x000D_
		&lt;valvey&gt;0.006&lt;/valvey&gt;_x000D_
	&lt;/valve&gt;_x000D_
</v>
      </c>
      <c r="G32">
        <f t="shared" ca="1" si="0"/>
        <v>0.9</v>
      </c>
    </row>
    <row r="33" spans="2:7" x14ac:dyDescent="0.25">
      <c r="B33" s="2" t="s">
        <v>12</v>
      </c>
      <c r="C33" s="3" t="str">
        <f t="shared" ca="1" si="4"/>
        <v>BigShiny</v>
      </c>
      <c r="D33">
        <f t="shared" si="5"/>
        <v>0.13200000000000006</v>
      </c>
      <c r="E33">
        <v>6.0000000000000001E-3</v>
      </c>
      <c r="F33" t="str">
        <f ca="1">SINGLEVALVE(C33,D33,E33)</f>
        <v xml:space="preserve">	&lt;valve&gt;_x000D_
		&lt;valvetype&gt;BigShiny&lt;/valvetype&gt;_x000D_
		&lt;valvex&gt;0.132&lt;/valvex&gt;_x000D_
		&lt;valvey&gt;0.006&lt;/valvey&gt;_x000D_
	&lt;/valve&gt;_x000D_
</v>
      </c>
      <c r="G33">
        <f t="shared" ca="1" si="0"/>
        <v>0.8</v>
      </c>
    </row>
    <row r="34" spans="2:7" x14ac:dyDescent="0.25">
      <c r="B34" s="2" t="s">
        <v>12</v>
      </c>
      <c r="C34" s="3" t="str">
        <f t="shared" ca="1" si="4"/>
        <v>BigFlat</v>
      </c>
      <c r="D34">
        <f t="shared" si="5"/>
        <v>8.0000000000000071E-2</v>
      </c>
      <c r="E34">
        <v>6.0000000000000001E-3</v>
      </c>
      <c r="F34" t="str">
        <f ca="1">SINGLEVALVE(C34,D34,E34)</f>
        <v xml:space="preserve">	&lt;valve&gt;_x000D_
		&lt;valvetype&gt;BigFlat&lt;/valvetype&gt;_x000D_
		&lt;valvex&gt;0.08&lt;/valvex&gt;_x000D_
		&lt;valvey&gt;0.006&lt;/valvey&gt;_x000D_
	&lt;/valve&gt;_x000D_
</v>
      </c>
      <c r="G34">
        <f t="shared" ca="1" si="0"/>
        <v>0.7</v>
      </c>
    </row>
    <row r="35" spans="2:7" x14ac:dyDescent="0.25">
      <c r="B35" s="2" t="s">
        <v>12</v>
      </c>
      <c r="C35" s="3" t="str">
        <f t="shared" ca="1" si="4"/>
        <v>BigShiny</v>
      </c>
      <c r="D35">
        <f t="shared" si="5"/>
        <v>2.8000000000000073E-2</v>
      </c>
      <c r="E35">
        <v>6.0000000000000001E-3</v>
      </c>
      <c r="F35" t="str">
        <f ca="1">SINGLEVALVE(C35,D35,E35)</f>
        <v xml:space="preserve">	&lt;valve&gt;_x000D_
		&lt;valvetype&gt;BigShiny&lt;/valvetype&gt;_x000D_
		&lt;valvex&gt;0.028&lt;/valvex&gt;_x000D_
		&lt;valvey&gt;0.006&lt;/valvey&gt;_x000D_
	&lt;/valve&gt;_x000D_
</v>
      </c>
      <c r="G35">
        <f t="shared" ca="1" si="0"/>
        <v>0.8</v>
      </c>
    </row>
    <row r="36" spans="2:7" x14ac:dyDescent="0.25">
      <c r="B36" s="2" t="s">
        <v>12</v>
      </c>
      <c r="C36" s="3" t="str">
        <f t="shared" ca="1" si="4"/>
        <v>BigFlat</v>
      </c>
      <c r="D36">
        <f t="shared" si="5"/>
        <v>-2.3999999999999924E-2</v>
      </c>
      <c r="E36">
        <v>6.0000000000000001E-3</v>
      </c>
      <c r="F36" t="str">
        <f ca="1">SINGLEVALVE(C36,D36,E36)</f>
        <v xml:space="preserve">	&lt;valve&gt;_x000D_
		&lt;valvetype&gt;BigFlat&lt;/valvetype&gt;_x000D_
		&lt;valvex&gt;-0.024&lt;/valvex&gt;_x000D_
		&lt;valvey&gt;0.006&lt;/valvey&gt;_x000D_
	&lt;/valve&gt;_x000D_
</v>
      </c>
      <c r="G36">
        <f t="shared" ca="1" si="0"/>
        <v>0.6</v>
      </c>
    </row>
    <row r="37" spans="2:7" x14ac:dyDescent="0.25">
      <c r="B37" s="2" t="s">
        <v>12</v>
      </c>
      <c r="C37" s="3" t="str">
        <f t="shared" ca="1" si="4"/>
        <v>BigShiny</v>
      </c>
      <c r="D37">
        <f t="shared" si="5"/>
        <v>-7.5999999999999929E-2</v>
      </c>
      <c r="E37">
        <v>6.0000000000000001E-3</v>
      </c>
      <c r="F37" t="str">
        <f ca="1">SINGLEVALVE(C37,D37,E37)</f>
        <v xml:space="preserve">	&lt;valve&gt;_x000D_
		&lt;valvetype&gt;BigShiny&lt;/valvetype&gt;_x000D_
		&lt;valvex&gt;-0.076&lt;/valvex&gt;_x000D_
		&lt;valvey&gt;0.006&lt;/valvey&gt;_x000D_
	&lt;/valve&gt;_x000D_
</v>
      </c>
      <c r="G37">
        <f t="shared" ca="1" si="0"/>
        <v>0.8</v>
      </c>
    </row>
    <row r="38" spans="2:7" x14ac:dyDescent="0.25">
      <c r="B38" s="2" t="s">
        <v>12</v>
      </c>
      <c r="C38" s="3" t="str">
        <f t="shared" ca="1" si="4"/>
        <v>BigFlat</v>
      </c>
      <c r="D38">
        <f t="shared" si="5"/>
        <v>-0.12799999999999992</v>
      </c>
      <c r="E38">
        <v>6.0000000000000001E-3</v>
      </c>
      <c r="F38" t="str">
        <f ca="1">SINGLEVALVE(C38,D38,E38)</f>
        <v xml:space="preserve">	&lt;valve&gt;_x000D_
		&lt;valvetype&gt;BigFlat&lt;/valvetype&gt;_x000D_
		&lt;valvex&gt;-0.128&lt;/valvex&gt;_x000D_
		&lt;valvey&gt;0.006&lt;/valvey&gt;_x000D_
	&lt;/valve&gt;_x000D_
</v>
      </c>
      <c r="G38">
        <f t="shared" ca="1" si="0"/>
        <v>0.7</v>
      </c>
    </row>
    <row r="39" spans="2:7" x14ac:dyDescent="0.25">
      <c r="B39" s="2" t="s">
        <v>12</v>
      </c>
      <c r="C39" s="3" t="str">
        <f t="shared" ca="1" si="4"/>
        <v>BigFlat</v>
      </c>
      <c r="D39">
        <f t="shared" si="5"/>
        <v>-0.17999999999999991</v>
      </c>
      <c r="E39">
        <v>6.0000000000000001E-3</v>
      </c>
      <c r="F39" t="str">
        <f ca="1">SINGLEVALVE(C39,D39,E39)</f>
        <v xml:space="preserve">	&lt;valve&gt;_x000D_
		&lt;valvetype&gt;BigFlat&lt;/valvetype&gt;_x000D_
		&lt;valvex&gt;-0.18&lt;/valvex&gt;_x000D_
		&lt;valvey&gt;0.006&lt;/valvey&gt;_x000D_
	&lt;/valve&gt;_x000D_
</v>
      </c>
      <c r="G39">
        <f t="shared" ca="1" si="0"/>
        <v>0.6</v>
      </c>
    </row>
    <row r="40" spans="2:7" x14ac:dyDescent="0.25">
      <c r="B40" s="2" t="s">
        <v>12</v>
      </c>
      <c r="C40" s="3" t="str">
        <f t="shared" ca="1" si="4"/>
        <v>BigFlat</v>
      </c>
      <c r="D40">
        <f t="shared" si="5"/>
        <v>-0.2319999999999999</v>
      </c>
      <c r="E40">
        <v>6.0000000000000001E-3</v>
      </c>
      <c r="F40" t="str">
        <f ca="1">SINGLEVALVE(C40,D40,E40)</f>
        <v xml:space="preserve">	&lt;valve&gt;_x000D_
		&lt;valvetype&gt;BigFlat&lt;/valvetype&gt;_x000D_
		&lt;valvex&gt;-0.232&lt;/valvex&gt;_x000D_
		&lt;valvey&gt;0.006&lt;/valvey&gt;_x000D_
	&lt;/valve&gt;_x000D_
</v>
      </c>
      <c r="G40">
        <f t="shared" ca="1" si="0"/>
        <v>0.6</v>
      </c>
    </row>
    <row r="41" spans="2:7" x14ac:dyDescent="0.25">
      <c r="B41" s="2" t="s">
        <v>12</v>
      </c>
      <c r="C41" s="3" t="str">
        <f t="shared" ca="1" si="4"/>
        <v>BigFlat</v>
      </c>
      <c r="D41">
        <f>D40-0.052</f>
        <v>-0.28399999999999992</v>
      </c>
      <c r="E41">
        <v>5.5E-2</v>
      </c>
      <c r="F41" t="str">
        <f ca="1">SINGLEVALVE(C41,D41,E41)</f>
        <v xml:space="preserve">	&lt;valve&gt;_x000D_
		&lt;valvetype&gt;BigFlat&lt;/valvetype&gt;_x000D_
		&lt;valvex&gt;-0.284&lt;/valvex&gt;_x000D_
		&lt;valvey&gt;0.055&lt;/valvey&gt;_x000D_
	&lt;/valve&gt;_x000D_
</v>
      </c>
      <c r="G41">
        <f t="shared" ca="1" si="0"/>
        <v>0.7</v>
      </c>
    </row>
    <row r="42" spans="2:7" x14ac:dyDescent="0.25">
      <c r="B42" s="2" t="s">
        <v>12</v>
      </c>
      <c r="C42" s="3" t="str">
        <f t="shared" ca="1" si="4"/>
        <v>BigFlat</v>
      </c>
      <c r="D42">
        <f t="shared" ref="D42" si="6">D41-0.052</f>
        <v>-0.33599999999999991</v>
      </c>
      <c r="E42">
        <v>6.0000000000000001E-3</v>
      </c>
      <c r="F42" t="str">
        <f ca="1">SINGLEVALVE(C42,D42,E42)</f>
        <v xml:space="preserve">	&lt;valve&gt;_x000D_
		&lt;valvetype&gt;BigFlat&lt;/valvetype&gt;_x000D_
		&lt;valvex&gt;-0.336&lt;/valvex&gt;_x000D_
		&lt;valvey&gt;0.006&lt;/valvey&gt;_x000D_
	&lt;/valve&gt;_x000D_
</v>
      </c>
      <c r="G42">
        <f t="shared" ca="1" si="0"/>
        <v>0.6</v>
      </c>
    </row>
    <row r="43" spans="2:7" x14ac:dyDescent="0.25">
      <c r="B43" s="2" t="s">
        <v>12</v>
      </c>
      <c r="C43" s="3" t="str">
        <f t="shared" ca="1" si="4"/>
        <v>SmallBlack</v>
      </c>
      <c r="D43">
        <f>D29-2.5*0.052</f>
        <v>0.21000000000000002</v>
      </c>
      <c r="E43">
        <v>5.5E-2</v>
      </c>
      <c r="F43" t="str">
        <f ca="1">SINGLEVALVE(C43,D43,E43)</f>
        <v xml:space="preserve">	&lt;valve&gt;_x000D_
		&lt;valvetype&gt;SmallBlack&lt;/valvetype&gt;_x000D_
		&lt;valvex&gt;0.21&lt;/valvex&gt;_x000D_
		&lt;valvey&gt;0.055&lt;/valvey&gt;_x000D_
	&lt;/valve&gt;_x000D_
</v>
      </c>
      <c r="G43">
        <f ca="1">RANDBETWEEN(0,5)/10</f>
        <v>0.2</v>
      </c>
    </row>
    <row r="44" spans="2:7" x14ac:dyDescent="0.25">
      <c r="B44" s="2" t="s">
        <v>12</v>
      </c>
      <c r="C44" s="3" t="str">
        <f t="shared" ca="1" si="4"/>
        <v>SmallRed</v>
      </c>
      <c r="D44">
        <f t="shared" ref="D44:D52" si="7">D43-0.052</f>
        <v>0.15800000000000003</v>
      </c>
      <c r="E44">
        <v>5.5E-2</v>
      </c>
      <c r="F44" t="str">
        <f ca="1">SINGLEVALVE(C44,D44,E44)</f>
        <v xml:space="preserve">	&lt;valve&gt;_x000D_
		&lt;valvetype&gt;SmallRed&lt;/valvetype&gt;_x000D_
		&lt;valvex&gt;0.158&lt;/valvex&gt;_x000D_
		&lt;valvey&gt;0.055&lt;/valvey&gt;_x000D_
	&lt;/valve&gt;_x000D_
</v>
      </c>
      <c r="G44">
        <f t="shared" ref="G44:G52" ca="1" si="8">RANDBETWEEN(0,5)/10</f>
        <v>0</v>
      </c>
    </row>
    <row r="45" spans="2:7" x14ac:dyDescent="0.25">
      <c r="B45" s="2" t="s">
        <v>12</v>
      </c>
      <c r="C45" s="3" t="str">
        <f t="shared" ca="1" si="4"/>
        <v>SmallBlack</v>
      </c>
      <c r="D45">
        <f t="shared" si="7"/>
        <v>0.10600000000000004</v>
      </c>
      <c r="E45">
        <v>5.5E-2</v>
      </c>
      <c r="F45" t="str">
        <f ca="1">SINGLEVALVE(C45,D45,E45)</f>
        <v xml:space="preserve">	&lt;valve&gt;_x000D_
		&lt;valvetype&gt;SmallBlack&lt;/valvetype&gt;_x000D_
		&lt;valvex&gt;0.106&lt;/valvex&gt;_x000D_
		&lt;valvey&gt;0.055&lt;/valvey&gt;_x000D_
	&lt;/valve&gt;_x000D_
</v>
      </c>
      <c r="G45">
        <f t="shared" ca="1" si="8"/>
        <v>0.2</v>
      </c>
    </row>
    <row r="46" spans="2:7" x14ac:dyDescent="0.25">
      <c r="B46" s="2" t="s">
        <v>12</v>
      </c>
      <c r="C46" s="3" t="str">
        <f t="shared" ca="1" si="4"/>
        <v>SmallBlack</v>
      </c>
      <c r="D46">
        <f t="shared" si="7"/>
        <v>5.4000000000000041E-2</v>
      </c>
      <c r="E46">
        <v>5.5E-2</v>
      </c>
      <c r="F46" t="str">
        <f ca="1">SINGLEVALVE(C46,D46,E46)</f>
        <v xml:space="preserve">	&lt;valve&gt;_x000D_
		&lt;valvetype&gt;SmallBlack&lt;/valvetype&gt;_x000D_
		&lt;valvex&gt;0.054&lt;/valvex&gt;_x000D_
		&lt;valvey&gt;0.055&lt;/valvey&gt;_x000D_
	&lt;/valve&gt;_x000D_
</v>
      </c>
      <c r="G46">
        <f t="shared" ca="1" si="8"/>
        <v>0.3</v>
      </c>
    </row>
    <row r="47" spans="2:7" x14ac:dyDescent="0.25">
      <c r="B47" s="2" t="s">
        <v>12</v>
      </c>
      <c r="C47" s="3" t="str">
        <f t="shared" ca="1" si="4"/>
        <v>SmallRed</v>
      </c>
      <c r="D47">
        <f t="shared" si="7"/>
        <v>2.0000000000000434E-3</v>
      </c>
      <c r="E47">
        <v>5.5E-2</v>
      </c>
      <c r="F47" t="str">
        <f ca="1">SINGLEVALVE(C47,D47,E47)</f>
        <v xml:space="preserve">	&lt;valve&gt;_x000D_
		&lt;valvetype&gt;SmallRed&lt;/valvetype&gt;_x000D_
		&lt;valvex&gt;0.002&lt;/valvex&gt;_x000D_
		&lt;valvey&gt;0.055&lt;/valvey&gt;_x000D_
	&lt;/valve&gt;_x000D_
</v>
      </c>
      <c r="G47">
        <f t="shared" ca="1" si="8"/>
        <v>0</v>
      </c>
    </row>
    <row r="48" spans="2:7" x14ac:dyDescent="0.25">
      <c r="B48" s="2" t="s">
        <v>12</v>
      </c>
      <c r="C48" s="3" t="str">
        <f t="shared" ca="1" si="4"/>
        <v>SmallRed</v>
      </c>
      <c r="D48">
        <f t="shared" si="7"/>
        <v>-4.9999999999999954E-2</v>
      </c>
      <c r="E48">
        <v>5.5E-2</v>
      </c>
      <c r="F48" t="str">
        <f ca="1">SINGLEVALVE(C48,D48,E48)</f>
        <v xml:space="preserve">	&lt;valve&gt;_x000D_
		&lt;valvetype&gt;SmallRed&lt;/valvetype&gt;_x000D_
		&lt;valvex&gt;-0.05&lt;/valvex&gt;_x000D_
		&lt;valvey&gt;0.055&lt;/valvey&gt;_x000D_
	&lt;/valve&gt;_x000D_
</v>
      </c>
      <c r="G48">
        <f t="shared" ca="1" si="8"/>
        <v>0</v>
      </c>
    </row>
    <row r="49" spans="2:7" x14ac:dyDescent="0.25">
      <c r="B49" s="2" t="s">
        <v>12</v>
      </c>
      <c r="C49" s="3" t="str">
        <f t="shared" ca="1" si="4"/>
        <v>SmallBlack</v>
      </c>
      <c r="D49">
        <f t="shared" si="7"/>
        <v>-0.10199999999999995</v>
      </c>
      <c r="E49">
        <v>5.5E-2</v>
      </c>
      <c r="F49" t="str">
        <f ca="1">SINGLEVALVE(C49,D49,E49)</f>
        <v xml:space="preserve">	&lt;valve&gt;_x000D_
		&lt;valvetype&gt;SmallBlack&lt;/valvetype&gt;_x000D_
		&lt;valvex&gt;-0.102&lt;/valvex&gt;_x000D_
		&lt;valvey&gt;0.055&lt;/valvey&gt;_x000D_
	&lt;/valve&gt;_x000D_
</v>
      </c>
      <c r="G49">
        <f t="shared" ca="1" si="8"/>
        <v>0.2</v>
      </c>
    </row>
    <row r="50" spans="2:7" x14ac:dyDescent="0.25">
      <c r="B50" s="2" t="s">
        <v>12</v>
      </c>
      <c r="C50" s="3" t="str">
        <f t="shared" ca="1" si="4"/>
        <v>SmallCream</v>
      </c>
      <c r="D50">
        <f t="shared" si="7"/>
        <v>-0.15399999999999994</v>
      </c>
      <c r="E50">
        <v>5.5E-2</v>
      </c>
      <c r="F50" t="str">
        <f ca="1">SINGLEVALVE(C50,D50,E50)</f>
        <v xml:space="preserve">	&lt;valve&gt;_x000D_
		&lt;valvetype&gt;SmallCream&lt;/valvetype&gt;_x000D_
		&lt;valvex&gt;-0.154&lt;/valvex&gt;_x000D_
		&lt;valvey&gt;0.055&lt;/valvey&gt;_x000D_
	&lt;/valve&gt;_x000D_
</v>
      </c>
      <c r="G50">
        <f t="shared" ca="1" si="8"/>
        <v>0.5</v>
      </c>
    </row>
    <row r="51" spans="2:7" x14ac:dyDescent="0.25">
      <c r="B51" s="2" t="s">
        <v>12</v>
      </c>
      <c r="C51" s="3" t="str">
        <f t="shared" ca="1" si="4"/>
        <v>SmallCream</v>
      </c>
      <c r="D51">
        <f t="shared" si="7"/>
        <v>-0.20599999999999993</v>
      </c>
      <c r="E51">
        <v>5.5E-2</v>
      </c>
      <c r="F51" t="str">
        <f ca="1">SINGLEVALVE(C51,D51,E51)</f>
        <v xml:space="preserve">	&lt;valve&gt;_x000D_
		&lt;valvetype&gt;SmallCream&lt;/valvetype&gt;_x000D_
		&lt;valvex&gt;-0.206&lt;/valvex&gt;_x000D_
		&lt;valvey&gt;0.055&lt;/valvey&gt;_x000D_
	&lt;/valve&gt;_x000D_
</v>
      </c>
      <c r="G51">
        <f t="shared" ca="1" si="8"/>
        <v>0.5</v>
      </c>
    </row>
    <row r="52" spans="2:7" x14ac:dyDescent="0.25">
      <c r="B52" s="2" t="s">
        <v>12</v>
      </c>
      <c r="C52" s="3" t="str">
        <f t="shared" ca="1" si="4"/>
        <v>SmallCream</v>
      </c>
      <c r="D52">
        <f t="shared" si="7"/>
        <v>-0.25799999999999995</v>
      </c>
      <c r="E52">
        <v>5.5E-2</v>
      </c>
      <c r="F52" t="str">
        <f ca="1">SINGLEVALVE(C52,D52,E52)</f>
        <v xml:space="preserve">	&lt;valve&gt;_x000D_
		&lt;valvetype&gt;SmallCream&lt;/valvetype&gt;_x000D_
		&lt;valvex&gt;-0.258&lt;/valvex&gt;_x000D_
		&lt;valvey&gt;0.055&lt;/valvey&gt;_x000D_
	&lt;/valve&gt;_x000D_
</v>
      </c>
      <c r="G52">
        <f t="shared" ca="1" si="8"/>
        <v>0.4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C7"/>
  <sheetViews>
    <sheetView workbookViewId="0">
      <selection activeCell="B8" sqref="B8"/>
    </sheetView>
  </sheetViews>
  <sheetFormatPr defaultRowHeight="15" x14ac:dyDescent="0.25"/>
  <cols>
    <col min="3" max="3" width="9.140625" customWidth="1"/>
  </cols>
  <sheetData>
    <row r="2" spans="2:3" x14ac:dyDescent="0.25">
      <c r="B2" t="s">
        <v>28</v>
      </c>
    </row>
    <row r="4" spans="2:3" x14ac:dyDescent="0.25">
      <c r="B4" t="s">
        <v>15</v>
      </c>
      <c r="C4" t="s">
        <v>17</v>
      </c>
    </row>
    <row r="5" spans="2:3" x14ac:dyDescent="0.25">
      <c r="B5" t="s">
        <v>16</v>
      </c>
      <c r="C5" t="str">
        <f>EDSACROW(B5)</f>
        <v xml:space="preserve">&lt;row&gt;_x000D_
	&lt;rowname&gt;Rear&lt;/rowname&gt;_x000D_
	&lt;rack&gt;_x000D_
		&lt;racknumber&gt;1&lt;/racknumber&gt;_x000D_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&lt;chassisuilabel&gt;CCU Panel X&lt;/chassisuilabel&gt;_x000D_
			&lt;chassistype&gt;33&lt;/chassistype&gt;_x000D_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&lt;chassisuilabel&gt;CCU Panel X and VI&lt;/chassisuilabel&gt;_x000D_
			&lt;chassistype&gt;32&lt;/chassistype&gt;_x000D_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&lt;chassisuilabel&gt;Partial Product Adder&lt;/chassisuilabel&gt;_x000D_
			&lt;chassistype&gt;26&lt;/chassistype&gt;_x000D_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&lt;chassisuilabel&gt;Complementer Unit&lt;/chassisuilabel&gt;_x000D_
			&lt;chassistype&gt;27&lt;/chassistype&gt;_x000D_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&lt;chassisuilabel&gt;Collater Unit&lt;/chassisuilabel&gt;_x000D_
			&lt;chassistype&gt;28&lt;/chassistype&gt;_x000D_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&lt;chassisuilabel&gt;Distributing Unit 3&lt;/chassisuilabel&gt;_x000D_
			&lt;chassistype&gt;29&lt;/chassistype&gt;_x000D_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&lt;chassisuilabel&gt;Half Adder 2&lt;/chassisuilabel&gt;_x000D_
			&lt;chassistype&gt;7&lt;/chassistype&gt;_x000D_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&lt;chassisuilabel&gt;Half Adder 1&lt;/chassisuilabel&gt;_x000D_
			&lt;chassistype&gt;7&lt;/chassistype&gt;_x000D_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&lt;chassisuilabel&gt;Accumulator Tank 2 Regen&lt;/chassisuilabel&gt;_x000D_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&lt;chassisuilabel&gt;Accumulator Tank 1 Regen&lt;/chassisuilabel&gt;_x000D_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&lt;chassisuilabel&gt;ASU 1&lt;/chassisuilabel&gt;_x000D_
			&lt;chassistype&gt;16&lt;/chassistype&gt;_x000D_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&lt;chassisuilabel&gt;ASU 2&lt;/chassisuilabel&gt;_x000D_
			&lt;chassistype&gt;17&lt;/chassistype&gt;_x000D_
		&lt;/chassis&gt;_x000D_
	&lt;/rack&gt;_x000D_
	&lt;rack&gt;_x000D_
		&lt;racknumber&gt;4&lt;/racknumber&gt;_x000D_
		&lt;chassis&gt;_x000D_
			&lt;chassisnumber&gt;13&lt;/chassisnumber&gt;_x000D_
			&lt;chassisworldlabeltext&gt;&lt;/chassisworldlabeltext&gt;_x000D_
			&lt;chassisworldlabelnumber&gt;&lt;/chassisworldlabelnumber&gt;_x000D_
			&lt;chassisuilabel&gt;Multiplier Logic&lt;/chassisuilabel&gt;_x000D_
			&lt;chassistype&gt;37&lt;/chassistype&gt;_x000D_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&lt;chassisuilabel&gt;Multiplier Tank Regen&lt;/chassisuilabel&gt;_x000D_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&lt;chassisuilabel&gt;Multiplicand Shifting Unit&lt;/chassisuilabel&gt;_x000D_
			&lt;chassistype&gt;36&lt;/chassistype&gt;_x000D_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&lt;chassisuilabel&gt;Multiplicand Tank Regen&lt;/chassisuilabel&gt;_x000D_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&lt;chassisuilabel&gt;Digit Pulse Distributor Unit&lt;/chassisuilabel&gt;_x000D_
			&lt;chassistype&gt;47&lt;/chassistype&gt;_x000D_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&lt;chassisuilabel&gt;CCU Panel IV&lt;/chassisuilabel&gt;_x000D_
			&lt;chassistype&gt;34&lt;/chassistype&gt;_x000D_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&lt;chassisuilabel&gt;TCT Regen&lt;/chassisuilabel&gt;_x000D_
			&lt;chassistype&gt;1&lt;/chassistype&gt;_x000D_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&lt;chassisuilabel&gt;TCT Shifting Control&lt;/chassisuilabel&gt;_x000D_
			&lt;chassistype&gt;35&lt;/chassistype&gt;_x000D_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&lt;chassisuilabel&gt;CCU Panel II&lt;/chassisuilabel&gt;_x000D_
			&lt;chassistype&gt;52&lt;/chassistype&gt;_x000D_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&lt;chassisuilabel&gt;Accumulator Testing Unit&lt;/chassisuilabel&gt;_x000D_
			&lt;chassistype&gt;49&lt;/chassistype&gt;_x000D_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&lt;chassisuilabel&gt;CCU Panel VI&lt;/chassisuilabel&gt;_x000D_
			&lt;chassistype&gt;??&lt;/chassistype&gt;_x000D_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&lt;chassisuilabel&gt;CCU Panel III&lt;/chassisuilabel&gt;_x000D_
			&lt;chassistype&gt;53&lt;/chassistype&gt;_x000D_
		&lt;/chassis&gt;_x000D_
	&lt;/rack&gt;_x000D_
	&lt;rack&gt;_x000D_
		&lt;racknumber&gt;5&lt;/racknumber&gt;_x000D_
		&lt;chassis&gt;_x000D_
			&lt;chassisnumber&gt;13&lt;/chassisnumber&gt;_x000D_
			&lt;chassisworldlabeltext&gt;&lt;/chassisworldlabeltext&gt;_x000D_
			&lt;chassisworldlabelnumber&gt;&lt;/chassisworldlabelnumber&gt;_x000D_
			&lt;chassisuilabel&gt;Buffers ?&lt;/chassisuilabel&gt;_x000D_
			&lt;chassistype&gt;50&lt;/chassistype&gt;_x000D_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&lt;chassisuilabel&gt;Maintenance Panel&lt;/chassisuilabel&gt;_x000D_
			&lt;chassistype&gt;??&lt;/chassistype&gt;_x000D_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&lt;chassisuilabel&gt;CCU Panel VII&lt;/chassisuilabel&gt;_x000D_
			&lt;chassistype&gt;57&lt;/chassistype&gt;_x000D_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&lt;chassisuilabel&gt;CCU Panel I&lt;/chassisuilabel&gt;_x000D_
			&lt;chassistype&gt;51&lt;/chassistype&gt;_x000D_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&lt;chassisuilabel&gt;CCU Panel VIII&lt;/chassisuilabel&gt;_x000D_
			&lt;chassistype&gt;58&lt;/chassistype&gt;_x000D_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&lt;chassisuilabel&gt;CCU Panel V&lt;/chassisuilabel&gt;_x000D_
			&lt;chassistype&gt;55&lt;/chassistype&gt;_x000D_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&lt;chassisuilabel&gt;CCU Panel IX&lt;/chassisuilabel&gt;_x000D_
			&lt;chassistype&gt;59&lt;/chassistype&gt;_x000D_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&lt;chassisuilabel&gt;CCU Panel XI&lt;/chassisuilabel&gt;_x000D_
			&lt;chassistype&gt;61&lt;/chassistype&gt;_x000D_
		&lt;/chassis&gt;_x000D_
	&lt;/rack&gt;_x000D_
&lt;/row&gt;_x000D_
</v>
      </c>
    </row>
    <row r="6" spans="2:3" x14ac:dyDescent="0.25">
      <c r="B6" t="s">
        <v>25</v>
      </c>
      <c r="C6" t="str">
        <f>EDSACROW(B6)</f>
        <v xml:space="preserve">&lt;row&gt;_x000D_
	&lt;rowname&gt;Middle&lt;/rowname&gt;_x000D_
	&lt;rack&gt;_x000D_
		&lt;racknumber&gt;1&lt;/racknumber&gt;_x000D_
		&lt;chassis&gt;_x000D_
			&lt;chassisnumber&gt;14&lt;/chassisnumber&gt;_x000D_
			&lt;chassisworldlabeltext&gt;&lt;/chassisworldlabeltext&gt;_x000D_
			&lt;chassisworldlabelnumber&gt;&lt;/chassisworldlabelnumber&gt;_x000D_
			&lt;chassisuilabel&gt;Counter Tank Regen&lt;/chassisuilabel&gt;_x000D_
			&lt;chassistype&gt;1&lt;/chassistype&gt;_x000D_
		&lt;/chassis&gt;_x000D_
		&lt;chassis&gt;_x000D_
			&lt;chassisnumber&gt;13&lt;/chassisnumber&gt;_x000D_
			&lt;chassisworldlabeltext&gt;&lt;/chassisworldlabeltext&gt;_x000D_
			&lt;chassisworldlabelnumber&gt;&lt;/chassisworldlabelnumber&gt;_x000D_
			&lt;chassisuilabel&gt;Sequence Control Tank Regen&lt;/chassisuilabel&gt;_x000D_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&lt;chassisuilabel&gt;Order Tank Regen&lt;/chassisuilabel&gt;_x000D_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&lt;chassisuilabel&gt;Coincidence Unit 3&lt;/chassisuilabel&gt;_x000D_
			&lt;chassistype&gt;13&lt;/chassistype&gt;_x000D_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&lt;chassisuilabel&gt;Counter Half Adder&lt;/chassisuilabel&gt;_x000D_
			&lt;chassistype&gt;7&lt;/chassistype&gt;_x000D_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&lt;chassisuilabel&gt;SCT Half Adder&lt;/chassisuilabel&gt;_x000D_
			&lt;chassistype&gt;7&lt;/chassistype&gt;_x000D_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&lt;chassisuilabel&gt;Order Tank Control&lt;/chassisuilabel&gt;_x000D_
			&lt;chassistype&gt;46&lt;/chassistype&gt;_x000D_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&lt;chassisuilabel&gt;Counter + SCT Control&lt;/chassisuilabel&gt;_x000D_
			&lt;chassistype&gt;41&lt;/chassistype&gt;_x000D_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&lt;chassisuilabel&gt;Coincidence Unit 1&lt;/chassisuilabel&gt;_x000D_
			&lt;chassistype&gt;11&lt;/chassistype&gt;_x000D_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&lt;chassisuilabel&gt;Coincidence Unit 2&lt;/chassisuilabel&gt;_x000D_
			&lt;chassistype&gt;12&lt;/chassistype&gt;_x000D_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&lt;chassisuilabel&gt;Main Control Unit 1 M-1&lt;/chassisuilabel&gt;_x000D_
			&lt;chassistype&gt;43&lt;/chassistype&gt;_x000D_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&lt;chassisuilabel&gt;Main Control Unit 3 M-3&lt;/chassisuilabel&gt;_x000D_
			&lt;chassistype&gt;45&lt;/chassistype&gt;_x000D_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&lt;chassisuilabel&gt;Main Control Unit 2 M-2&lt;/chassisuilabel&gt;_x000D_
			&lt;chassistype&gt;44&lt;/chassistype&gt;_x000D_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&lt;chassisuilabel&gt;Transfer Tank Regen&lt;/chassisuilabel&gt;_x000D_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&lt;chassisuilabel&gt;Transfer Unit 1&lt;/chassisuilabel&gt;_x000D_
			&lt;chassistype&gt;42&lt;/chassistype&gt;_x000D_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&lt;chassisuilabel&gt;Transfer Unit 2&lt;/chassisuilabel&gt;_x000D_
			&lt;chassistype&gt;40&lt;/chassistype&gt;_x000D_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&lt;chassisuilabel&gt;Order Coder Unit Type 1 E-1&lt;/chassisuilabel&gt;_x000D_
			&lt;chassistype&gt;24&lt;/chassistype&gt;_x000D_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&lt;chassisuilabel&gt;Order Coder Unit Type 2 E-2&lt;/chassisuilabel&gt;_x000D_
			&lt;chassistype&gt;25&lt;/chassistype&gt;_x000D_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&lt;chassisuilabel&gt;Order Distributer Unit D-1&lt;/chassisuilabel&gt;_x000D_
			&lt;chassistype&gt;21&lt;/chassistype&gt;_x000D_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&lt;chassisuilabel&gt;Order Secondary Decoder Type 1 C-1&lt;/chassisuilabel&gt;_x000D_
			&lt;chassistype&gt;22&lt;/chassistype&gt;_x000D_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&lt;chassisuilabel&gt;Order Secondary Decoder Type 2 C-2&lt;/chassisuilabel&gt;_x000D_
			&lt;chassistype&gt;23&lt;/chassistype&gt;_x000D_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&lt;chassisuilabel&gt;Order Distributer Unit D-2&lt;/chassisuilabel&gt;_x000D_
			&lt;chassistype&gt;21&lt;/chassistype&gt;_x000D_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&lt;chassisuilabel&gt;Order Secondary Decoder Type 1 C-3&lt;/chassisuilabel&gt;_x000D_
			&lt;chassistype&gt;22&lt;/chassistype&gt;_x000D_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&lt;chassisuilabel&gt;Order Secondary Decoder Type 1 C-4&lt;/chassisuilabel&gt;_x000D_
			&lt;chassistype&gt;22&lt;/chassistype&gt;_x000D_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&lt;chassisuilabel&gt;Rack Decoder&lt;/chassisuilabel&gt;_x000D_
			&lt;chassistype&gt;14&lt;/chassistype&gt;_x000D_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&lt;chassisuilabel&gt;Rack Distribution Logic&lt;/chassisuilabel&gt;_x000D_
			&lt;chassistype&gt;10&lt;/chassistype&gt;_x000D_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&lt;chassisuilabel&gt;Tank Flashing Unit Controls&lt;/chassisuilabel&gt;_x000D_
			&lt;chassistype&gt;9&lt;/chassistype&gt;_x000D_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&lt;chassisuilabel&gt;Operator's Control Unit&lt;/chassisuilabel&gt;_x000D_
			&lt;chassistype&gt;48&lt;/chassistype&gt;_x000D_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&lt;chassisuilabel&gt;Order Primary Decoder B-1&lt;/chassisuilabel&gt;_x000D_
			&lt;chassistype&gt;20&lt;/chassistype&gt;_x000D_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&lt;chassisuilabel&gt;Order Flashing Unit Type 1 A-1&lt;/chassisuilabel&gt;_x000D_
			&lt;chassistype&gt;18&lt;/chassistype&gt;_x000D_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&lt;chassisuilabel&gt;Order Flashing Unit Type 2 A-2&lt;/chassisuilabel&gt;_x000D_
			&lt;chassistype&gt;19&lt;/chassistype&gt;_x000D_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&lt;chassisuilabel&gt;Order Flashing Unit Type 2 A-3&lt;/chassisuilabel&gt;_x000D_
			&lt;chassistype&gt;19&lt;/chassistype&gt;_x000D_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&lt;/row&gt;_x000D_
</v>
      </c>
    </row>
    <row r="7" spans="2:3" x14ac:dyDescent="0.25">
      <c r="B7" t="s">
        <v>26</v>
      </c>
      <c r="C7" t="str">
        <f>EDSACROW(B7)</f>
        <v xml:space="preserve">&lt;row&gt;_x000D_
	&lt;rowname&gt;Front&lt;/rowname&gt;_x000D_
	&lt;rack&gt;_x000D_
		&lt;racknumber&gt;1&lt;/racknumber&gt;_x000D_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&lt;chassisuilabel&gt;Clock Monitor&lt;/chassisuilabel&gt;_x000D_
			&lt;chassistype&gt;??&lt;/chassistype&gt;_x000D_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&lt;chassisuilabel&gt;Clock Pulse Generator&lt;/chassisuilabel&gt;_x000D_
			&lt;chassistype&gt;2&lt;/chassistype&gt;_x000D_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&lt;chassisuilabel&gt;Clock Pulse Distributor (DU1)&lt;/chassisuilabel&gt;_x000D_
			&lt;chassistype&gt;30&lt;/chassistype&gt;_x000D_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&lt;chassisuilabel&gt;Digit Pulse Distributor (DU2)&lt;/chassisuilabel&gt;_x000D_
			&lt;chassistype&gt;31&lt;/chassistype&gt;_x000D_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&lt;chassisuilabel&gt;Negative PSU&lt;/chassisuilabel&gt;_x000D_
			&lt;chassistype&gt;38&lt;/chassistype&gt;_x000D_
		&lt;/chassis&gt;_x000D_
	&lt;/rack&gt;_x000D_
	&lt;rack&gt;_x000D_
		&lt;racknumber&gt;4&lt;/racknumber&gt;_x000D_
		&lt;chassis&gt;_x000D_
			&lt;chassisnumber&gt;13&lt;/chassisnumber&gt;_x000D_
			&lt;chassisworldlabeltext&gt;&lt;/chassisworldlabeltext&gt;_x000D_
			&lt;chassisworldlabelnumber&gt;&lt;/chassisworldlabelnumber&gt;_x000D_
			&lt;chassisuilabel&gt;Initial Orders Uniselectors&lt;/chassisuilabel&gt;_x000D_
			&lt;chassistype&gt;39&lt;/chassistype&gt;_x000D_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&lt;chassisuilabel&gt;Initial Input Unit 1&lt;/chassisuilabel&gt;_x000D_
			&lt;chassistype&gt;??&lt;/chassistype&gt;_x000D_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&lt;chassisuilabel&gt;Initial Input Unit 2&lt;/chassisuilabel&gt;_x000D_
			&lt;chassistype&gt;??&lt;/chassistype&gt;_x000D_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&lt;chassisuilabel&gt;Manual Order Unit&lt;/chassisuilabel&gt;_x000D_
			&lt;chassistype&gt;54&lt;/chassistype&gt;_x000D_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&lt;chassisuilabel&gt;Paper Tape Unit 1&lt;/chassisuilabel&gt;_x000D_
			&lt;chassistype&gt;??&lt;/chassistype&gt;_x000D_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&lt;chassisuilabel&gt;Paper Tape Unit 2&lt;/chassisuilabel&gt;_x000D_
			&lt;chassistype&gt;??&lt;/chassistype&gt;_x000D_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&lt;chassisuilabel&gt;Printer Unit 1&lt;/chassisuilabel&gt;_x000D_
			&lt;chassistype&gt;??&lt;/chassistype&gt;_x000D_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&lt;chassisuilabel&gt;Printer Unit 2&lt;/chassisuilabel&gt;_x000D_
			&lt;chassistype&gt;??&lt;/chassistype&gt;_x000D_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&lt;chassisuilabel&gt;Printer Unit 3&lt;/chassisuilabel&gt;_x000D_
			&lt;chassistype&gt;??&lt;/chassistype&gt;_x000D_
		&lt;/chassis&gt;_x000D_
	&lt;/rack&gt;_x000D_
&lt;/row&gt;_x000D_
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D16"/>
  <sheetViews>
    <sheetView workbookViewId="0">
      <selection activeCell="D5" sqref="D5"/>
    </sheetView>
  </sheetViews>
  <sheetFormatPr defaultRowHeight="15" x14ac:dyDescent="0.25"/>
  <sheetData>
    <row r="2" spans="2:4" x14ac:dyDescent="0.25">
      <c r="B2" t="s">
        <v>27</v>
      </c>
    </row>
    <row r="4" spans="2:4" x14ac:dyDescent="0.25">
      <c r="B4" t="s">
        <v>15</v>
      </c>
      <c r="C4" t="s">
        <v>18</v>
      </c>
      <c r="D4" t="s">
        <v>19</v>
      </c>
    </row>
    <row r="5" spans="2:4" x14ac:dyDescent="0.25">
      <c r="B5" t="s">
        <v>16</v>
      </c>
      <c r="C5">
        <v>1</v>
      </c>
      <c r="D5" t="str">
        <f>RACK(B5,C5)</f>
        <v xml:space="preserve">	&lt;rack&gt;_x000D_
		&lt;racknumber&gt;1&lt;/racknumber&gt;_x000D_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</v>
      </c>
    </row>
    <row r="6" spans="2:4" x14ac:dyDescent="0.25">
      <c r="B6" t="s">
        <v>16</v>
      </c>
      <c r="C6">
        <v>2</v>
      </c>
      <c r="D6" t="str">
        <f>RACK(B6,C6)</f>
        <v xml:space="preserve">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</v>
      </c>
    </row>
    <row r="7" spans="2:4" x14ac:dyDescent="0.25">
      <c r="B7" t="s">
        <v>16</v>
      </c>
      <c r="C7">
        <v>3</v>
      </c>
      <c r="D7" t="str">
        <f>RACK(B7,C7)</f>
        <v xml:space="preserve">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&lt;chassisuilabel&gt;CCU Panel X&lt;/chassisuilabel&gt;_x000D_
			&lt;chassistype&gt;33&lt;/chassistype&gt;_x000D_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&lt;chassisuilabel&gt;CCU Panel X and VI&lt;/chassisuilabel&gt;_x000D_
			&lt;chassistype&gt;32&lt;/chassistype&gt;_x000D_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&lt;chassisuilabel&gt;Partial Product Adder&lt;/chassisuilabel&gt;_x000D_
			&lt;chassistype&gt;26&lt;/chassistype&gt;_x000D_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&lt;chassisuilabel&gt;Complementer Unit&lt;/chassisuilabel&gt;_x000D_
			&lt;chassistype&gt;27&lt;/chassistype&gt;_x000D_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&lt;chassisuilabel&gt;Collater Unit&lt;/chassisuilabel&gt;_x000D_
			&lt;chassistype&gt;28&lt;/chassistype&gt;_x000D_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&lt;chassisuilabel&gt;Distributing Unit 3&lt;/chassisuilabel&gt;_x000D_
			&lt;chassistype&gt;29&lt;/chassistype&gt;_x000D_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&lt;chassisuilabel&gt;Half Adder 2&lt;/chassisuilabel&gt;_x000D_
			&lt;chassistype&gt;7&lt;/chassistype&gt;_x000D_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&lt;chassisuilabel&gt;Half Adder 1&lt;/chassisuilabel&gt;_x000D_
			&lt;chassistype&gt;7&lt;/chassistype&gt;_x000D_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&lt;chassisuilabel&gt;Accumulator Tank 2 Regen&lt;/chassisuilabel&gt;_x000D_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&lt;chassisuilabel&gt;Accumulator Tank 1 Regen&lt;/chassisuilabel&gt;_x000D_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&lt;chassisuilabel&gt;ASU 1&lt;/chassisuilabel&gt;_x000D_
			&lt;chassistype&gt;16&lt;/chassistype&gt;_x000D_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&lt;chassisuilabel&gt;ASU 2&lt;/chassisuilabel&gt;_x000D_
			&lt;chassistype&gt;17&lt;/chassistype&gt;_x000D_
		&lt;/chassis&gt;_x000D_
	&lt;/rack&gt;_x000D_
</v>
      </c>
    </row>
    <row r="8" spans="2:4" x14ac:dyDescent="0.25">
      <c r="B8" t="s">
        <v>16</v>
      </c>
      <c r="C8">
        <v>4</v>
      </c>
      <c r="D8" t="str">
        <f>RACK(B8,C8)</f>
        <v xml:space="preserve">	&lt;rack&gt;_x000D_
		&lt;racknumber&gt;4&lt;/racknumber&gt;_x000D_
		&lt;chassis&gt;_x000D_
			&lt;chassisnumber&gt;13&lt;/chassisnumber&gt;_x000D_
			&lt;chassisworldlabeltext&gt;&lt;/chassisworldlabeltext&gt;_x000D_
			&lt;chassisworldlabelnumber&gt;&lt;/chassisworldlabelnumber&gt;_x000D_
			&lt;chassisuilabel&gt;Multiplier Logic&lt;/chassisuilabel&gt;_x000D_
			&lt;chassistype&gt;37&lt;/chassistype&gt;_x000D_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&lt;chassisuilabel&gt;Multiplier Tank Regen&lt;/chassisuilabel&gt;_x000D_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&lt;chassisuilabel&gt;Multiplicand Shifting Unit&lt;/chassisuilabel&gt;_x000D_
			&lt;chassistype&gt;36&lt;/chassistype&gt;_x000D_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&lt;chassisuilabel&gt;Multiplicand Tank Regen&lt;/chassisuilabel&gt;_x000D_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&lt;chassisuilabel&gt;Digit Pulse Distributor Unit&lt;/chassisuilabel&gt;_x000D_
			&lt;chassistype&gt;47&lt;/chassistype&gt;_x000D_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&lt;chassisuilabel&gt;CCU Panel IV&lt;/chassisuilabel&gt;_x000D_
			&lt;chassistype&gt;34&lt;/chassistype&gt;_x000D_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&lt;chassisuilabel&gt;TCT Regen&lt;/chassisuilabel&gt;_x000D_
			&lt;chassistype&gt;1&lt;/chassistype&gt;_x000D_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&lt;chassisuilabel&gt;TCT Shifting Control&lt;/chassisuilabel&gt;_x000D_
			&lt;chassistype&gt;35&lt;/chassistype&gt;_x000D_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&lt;chassisuilabel&gt;CCU Panel II&lt;/chassisuilabel&gt;_x000D_
			&lt;chassistype&gt;52&lt;/chassistype&gt;_x000D_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&lt;chassisuilabel&gt;Accumulator Testing Unit&lt;/chassisuilabel&gt;_x000D_
			&lt;chassistype&gt;49&lt;/chassistype&gt;_x000D_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&lt;chassisuilabel&gt;CCU Panel VI&lt;/chassisuilabel&gt;_x000D_
			&lt;chassistype&gt;??&lt;/chassistype&gt;_x000D_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&lt;chassisuilabel&gt;CCU Panel III&lt;/chassisuilabel&gt;_x000D_
			&lt;chassistype&gt;53&lt;/chassistype&gt;_x000D_
		&lt;/chassis&gt;_x000D_
	&lt;/rack&gt;_x000D_
</v>
      </c>
    </row>
    <row r="9" spans="2:4" x14ac:dyDescent="0.25">
      <c r="B9" t="s">
        <v>16</v>
      </c>
      <c r="C9">
        <v>5</v>
      </c>
      <c r="D9" t="str">
        <f>RACK(B9,C9)</f>
        <v xml:space="preserve">	&lt;rack&gt;_x000D_
		&lt;racknumber&gt;5&lt;/racknumber&gt;_x000D_
		&lt;chassis&gt;_x000D_
			&lt;chassisnumber&gt;13&lt;/chassisnumber&gt;_x000D_
			&lt;chassisworldlabeltext&gt;&lt;/chassisworldlabeltext&gt;_x000D_
			&lt;chassisworldlabelnumber&gt;&lt;/chassisworldlabelnumber&gt;_x000D_
			&lt;chassisuilabel&gt;Buffers ?&lt;/chassisuilabel&gt;_x000D_
			&lt;chassistype&gt;50&lt;/chassistype&gt;_x000D_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&lt;chassisuilabel&gt;Maintenance Panel&lt;/chassisuilabel&gt;_x000D_
			&lt;chassistype&gt;??&lt;/chassistype&gt;_x000D_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&lt;chassisuilabel&gt;CCU Panel VII&lt;/chassisuilabel&gt;_x000D_
			&lt;chassistype&gt;57&lt;/chassistype&gt;_x000D_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&lt;chassisuilabel&gt;CCU Panel I&lt;/chassisuilabel&gt;_x000D_
			&lt;chassistype&gt;51&lt;/chassistype&gt;_x000D_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&lt;chassisuilabel&gt;CCU Panel VIII&lt;/chassisuilabel&gt;_x000D_
			&lt;chassistype&gt;58&lt;/chassistype&gt;_x000D_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&lt;chassisuilabel&gt;CCU Panel V&lt;/chassisuilabel&gt;_x000D_
			&lt;chassistype&gt;55&lt;/chassistype&gt;_x000D_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&lt;chassisuilabel&gt;CCU Panel IX&lt;/chassisuilabel&gt;_x000D_
			&lt;chassistype&gt;59&lt;/chassistype&gt;_x000D_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&lt;chassisuilabel&gt;CCU Panel XI&lt;/chassisuilabel&gt;_x000D_
			&lt;chassistype&gt;61&lt;/chassistype&gt;_x000D_
		&lt;/chassis&gt;_x000D_
	&lt;/rack&gt;_x000D_
</v>
      </c>
    </row>
    <row r="10" spans="2:4" x14ac:dyDescent="0.25">
      <c r="B10" t="s">
        <v>25</v>
      </c>
      <c r="C10">
        <v>1</v>
      </c>
      <c r="D10" t="str">
        <f>RACK(B10,C10)</f>
        <v xml:space="preserve">	&lt;rack&gt;_x000D_
		&lt;racknumber&gt;1&lt;/racknumber&gt;_x000D_
		&lt;chassis&gt;_x000D_
			&lt;chassisnumber&gt;14&lt;/chassisnumber&gt;_x000D_
			&lt;chassisworldlabeltext&gt;&lt;/chassisworldlabeltext&gt;_x000D_
			&lt;chassisworldlabelnumber&gt;&lt;/chassisworldlabelnumber&gt;_x000D_
			&lt;chassisuilabel&gt;Counter Tank Regen&lt;/chassisuilabel&gt;_x000D_
			&lt;chassistype&gt;1&lt;/chassistype&gt;_x000D_
		&lt;/chassis&gt;_x000D_
		&lt;chassis&gt;_x000D_
			&lt;chassisnumber&gt;13&lt;/chassisnumber&gt;_x000D_
			&lt;chassisworldlabeltext&gt;&lt;/chassisworldlabeltext&gt;_x000D_
			&lt;chassisworldlabelnumber&gt;&lt;/chassisworldlabelnumber&gt;_x000D_
			&lt;chassisuilabel&gt;Sequence Control Tank Regen&lt;/chassisuilabel&gt;_x000D_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&lt;chassisuilabel&gt;Order Tank Regen&lt;/chassisuilabel&gt;_x000D_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&lt;chassisuilabel&gt;Coincidence Unit 3&lt;/chassisuilabel&gt;_x000D_
			&lt;chassistype&gt;13&lt;/chassistype&gt;_x000D_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&lt;chassisuilabel&gt;Counter Half Adder&lt;/chassisuilabel&gt;_x000D_
			&lt;chassistype&gt;7&lt;/chassistype&gt;_x000D_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&lt;chassisuilabel&gt;SCT Half Adder&lt;/chassisuilabel&gt;_x000D_
			&lt;chassistype&gt;7&lt;/chassistype&gt;_x000D_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&lt;chassisuilabel&gt;Order Tank Control&lt;/chassisuilabel&gt;_x000D_
			&lt;chassistype&gt;46&lt;/chassistype&gt;_x000D_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&lt;chassisuilabel&gt;Counter + SCT Control&lt;/chassisuilabel&gt;_x000D_
			&lt;chassistype&gt;41&lt;/chassistype&gt;_x000D_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&lt;chassisuilabel&gt;Coincidence Unit 1&lt;/chassisuilabel&gt;_x000D_
			&lt;chassistype&gt;11&lt;/chassistype&gt;_x000D_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&lt;chassisuilabel&gt;Coincidence Unit 2&lt;/chassisuilabel&gt;_x000D_
			&lt;chassistype&gt;12&lt;/chassistype&gt;_x000D_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&lt;chassisuilabel&gt;Main Control Unit 1 M-1&lt;/chassisuilabel&gt;_x000D_
			&lt;chassistype&gt;43&lt;/chassistype&gt;_x000D_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&lt;chassisuilabel&gt;Main Control Unit 3 M-3&lt;/chassisuilabel&gt;_x000D_
			&lt;chassistype&gt;45&lt;/chassistype&gt;_x000D_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&lt;chassisuilabel&gt;Main Control Unit 2 M-2&lt;/chassisuilabel&gt;_x000D_
			&lt;chassistype&gt;44&lt;/chassistype&gt;_x000D_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</v>
      </c>
    </row>
    <row r="11" spans="2:4" x14ac:dyDescent="0.25">
      <c r="B11" t="s">
        <v>25</v>
      </c>
      <c r="C11">
        <v>2</v>
      </c>
      <c r="D11" t="str">
        <f>RACK(B11,C11)</f>
        <v xml:space="preserve">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&lt;chassisuilabel&gt;Transfer Tank Regen&lt;/chassisuilabel&gt;_x000D_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&lt;chassisuilabel&gt;Transfer Unit 1&lt;/chassisuilabel&gt;_x000D_
			&lt;chassistype&gt;42&lt;/chassistype&gt;_x000D_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&lt;chassisuilabel&gt;Transfer Unit 2&lt;/chassisuilabel&gt;_x000D_
			&lt;chassistype&gt;40&lt;/chassistype&gt;_x000D_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&lt;chassisuilabel&gt;Order Coder Unit Type 1 E-1&lt;/chassisuilabel&gt;_x000D_
			&lt;chassistype&gt;24&lt;/chassistype&gt;_x000D_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&lt;chassisuilabel&gt;Order Coder Unit Type 2 E-2&lt;/chassisuilabel&gt;_x000D_
			&lt;chassistype&gt;25&lt;/chassistype&gt;_x000D_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&lt;chassisuilabel&gt;Order Distributer Unit D-1&lt;/chassisuilabel&gt;_x000D_
			&lt;chassistype&gt;21&lt;/chassistype&gt;_x000D_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&lt;chassisuilabel&gt;Order Secondary Decoder Type 1 C-1&lt;/chassisuilabel&gt;_x000D_
			&lt;chassistype&gt;22&lt;/chassistype&gt;_x000D_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&lt;chassisuilabel&gt;Order Secondary Decoder Type 2 C-2&lt;/chassisuilabel&gt;_x000D_
			&lt;chassistype&gt;23&lt;/chassistype&gt;_x000D_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&lt;chassisuilabel&gt;Order Distributer Unit D-2&lt;/chassisuilabel&gt;_x000D_
			&lt;chassistype&gt;21&lt;/chassistype&gt;_x000D_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&lt;chassisuilabel&gt;Order Secondary Decoder Type 1 C-3&lt;/chassisuilabel&gt;_x000D_
			&lt;chassistype&gt;22&lt;/chassistype&gt;_x000D_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&lt;chassisuilabel&gt;Order Secondary Decoder Type 1 C-4&lt;/chassisuilabel&gt;_x000D_
			&lt;chassistype&gt;22&lt;/chassistype&gt;_x000D_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</v>
      </c>
    </row>
    <row r="12" spans="2:4" x14ac:dyDescent="0.25">
      <c r="B12" t="s">
        <v>25</v>
      </c>
      <c r="C12">
        <v>3</v>
      </c>
      <c r="D12" t="str">
        <f>RACK(B12,C12)</f>
        <v xml:space="preserve">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&lt;chassisuilabel&gt;Rack Decoder&lt;/chassisuilabel&gt;_x000D_
			&lt;chassistype&gt;14&lt;/chassistype&gt;_x000D_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&lt;chassisuilabel&gt;Rack Distribution Logic&lt;/chassisuilabel&gt;_x000D_
			&lt;chassistype&gt;10&lt;/chassistype&gt;_x000D_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&lt;chassisuilabel&gt;Tank Flashing Unit Controls&lt;/chassisuilabel&gt;_x000D_
			&lt;chassistype&gt;9&lt;/chassistype&gt;_x000D_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&lt;chassisuilabel&gt;Operator's Control Unit&lt;/chassisuilabel&gt;_x000D_
			&lt;chassistype&gt;48&lt;/chassistype&gt;_x000D_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&lt;chassisuilabel&gt;Order Primary Decoder B-1&lt;/chassisuilabel&gt;_x000D_
			&lt;chassistype&gt;20&lt;/chassistype&gt;_x000D_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&lt;chassisuilabel&gt;Order Flashing Unit Type 1 A-1&lt;/chassisuilabel&gt;_x000D_
			&lt;chassistype&gt;18&lt;/chassistype&gt;_x000D_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&lt;chassisuilabel&gt;Order Flashing Unit Type 2 A-2&lt;/chassisuilabel&gt;_x000D_
			&lt;chassistype&gt;19&lt;/chassistype&gt;_x000D_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&lt;chassisuilabel&gt;Order Flashing Unit Type 2 A-3&lt;/chassisuilabel&gt;_x000D_
			&lt;chassistype&gt;19&lt;/chassistype&gt;_x000D_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</v>
      </c>
    </row>
    <row r="13" spans="2:4" x14ac:dyDescent="0.25">
      <c r="B13" t="s">
        <v>26</v>
      </c>
      <c r="C13">
        <v>1</v>
      </c>
      <c r="D13" t="str">
        <f>RACK(B13,C13)</f>
        <v xml:space="preserve">	&lt;rack&gt;_x000D_
		&lt;racknumber&gt;1&lt;/racknumber&gt;_x000D_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</v>
      </c>
    </row>
    <row r="14" spans="2:4" x14ac:dyDescent="0.25">
      <c r="B14" t="s">
        <v>26</v>
      </c>
      <c r="C14">
        <v>2</v>
      </c>
      <c r="D14" t="str">
        <f>RACK(B14,C14)</f>
        <v xml:space="preserve">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</v>
      </c>
    </row>
    <row r="15" spans="2:4" x14ac:dyDescent="0.25">
      <c r="B15" t="s">
        <v>26</v>
      </c>
      <c r="C15">
        <v>3</v>
      </c>
      <c r="D15" t="str">
        <f>RACK(B15,C15)</f>
        <v xml:space="preserve">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&lt;chassisuilabel&gt;Clock Monitor&lt;/chassisuilabel&gt;_x000D_
			&lt;chassistype&gt;??&lt;/chassistype&gt;_x000D_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&lt;chassisuilabel&gt;Clock Pulse Generator&lt;/chassisuilabel&gt;_x000D_
			&lt;chassistype&gt;2&lt;/chassistype&gt;_x000D_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&lt;chassisuilabel&gt;Clock Pulse Distributor (DU1)&lt;/chassisuilabel&gt;_x000D_
			&lt;chassistype&gt;30&lt;/chassistype&gt;_x000D_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&lt;chassisuilabel&gt;Digit Pulse Distributor (DU2)&lt;/chassisuilabel&gt;_x000D_
			&lt;chassistype&gt;31&lt;/chassistype&gt;_x000D_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&lt;chassisuilabel&gt;Negative PSU&lt;/chassisuilabel&gt;_x000D_
			&lt;chassistype&gt;38&lt;/chassistype&gt;_x000D_
		&lt;/chassis&gt;_x000D_
	&lt;/rack&gt;_x000D_
</v>
      </c>
    </row>
    <row r="16" spans="2:4" x14ac:dyDescent="0.25">
      <c r="B16" t="s">
        <v>26</v>
      </c>
      <c r="C16">
        <v>4</v>
      </c>
      <c r="D16" t="str">
        <f>RACK(B16,C16)</f>
        <v xml:space="preserve">	&lt;rack&gt;_x000D_
		&lt;racknumber&gt;4&lt;/racknumber&gt;_x000D_
		&lt;chassis&gt;_x000D_
			&lt;chassisnumber&gt;13&lt;/chassisnumber&gt;_x000D_
			&lt;chassisworldlabeltext&gt;&lt;/chassisworldlabeltext&gt;_x000D_
			&lt;chassisworldlabelnumber&gt;&lt;/chassisworldlabelnumber&gt;_x000D_
			&lt;chassisuilabel&gt;Initial Orders Uniselectors&lt;/chassisuilabel&gt;_x000D_
			&lt;chassistype&gt;39&lt;/chassistype&gt;_x000D_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&lt;chassisuilabel&gt;Initial Input Unit 1&lt;/chassisuilabel&gt;_x000D_
			&lt;chassistype&gt;??&lt;/chassistype&gt;_x000D_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&lt;chassisuilabel&gt;Initial Input Unit 2&lt;/chassisuilabel&gt;_x000D_
			&lt;chassistype&gt;??&lt;/chassistype&gt;_x000D_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&lt;chassisuilabel&gt;Manual Order Unit&lt;/chassisuilabel&gt;_x000D_
			&lt;chassistype&gt;54&lt;/chassistype&gt;_x000D_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&lt;chassisuilabel&gt;Paper Tape Unit 1&lt;/chassisuilabel&gt;_x000D_
			&lt;chassistype&gt;??&lt;/chassistype&gt;_x000D_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&lt;chassisuilabel&gt;Paper Tape Unit 2&lt;/chassisuilabel&gt;_x000D_
			&lt;chassistype&gt;??&lt;/chassistype&gt;_x000D_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&lt;chassisuilabel&gt;Printer Unit 1&lt;/chassisuilabel&gt;_x000D_
			&lt;chassistype&gt;??&lt;/chassistype&gt;_x000D_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&lt;chassisuilabel&gt;Printer Unit 2&lt;/chassisuilabel&gt;_x000D_
			&lt;chassistype&gt;??&lt;/chassistype&gt;_x000D_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&lt;chassisuilabel&gt;Printer Unit 3&lt;/chassisuilabel&gt;_x000D_
			&lt;chassistype&gt;??&lt;/chassistype&gt;_x000D_
		&lt;/chassis&gt;_x000D_
	&lt;/rack&gt;_x000D_
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I143"/>
  <sheetViews>
    <sheetView topLeftCell="B1" workbookViewId="0">
      <selection activeCell="B99" sqref="B99:B143"/>
    </sheetView>
  </sheetViews>
  <sheetFormatPr defaultRowHeight="15" x14ac:dyDescent="0.25"/>
  <cols>
    <col min="4" max="4" width="14.28515625" bestFit="1" customWidth="1"/>
    <col min="5" max="5" width="22.28515625" customWidth="1"/>
    <col min="6" max="6" width="12.42578125" customWidth="1"/>
    <col min="7" max="7" width="32.42578125" customWidth="1"/>
    <col min="8" max="8" width="13.42578125" customWidth="1"/>
  </cols>
  <sheetData>
    <row r="2" spans="2:9" x14ac:dyDescent="0.25">
      <c r="B2" t="s">
        <v>24</v>
      </c>
    </row>
    <row r="4" spans="2:9" x14ac:dyDescent="0.25">
      <c r="B4" t="s">
        <v>15</v>
      </c>
      <c r="C4" t="s">
        <v>18</v>
      </c>
      <c r="D4" t="s">
        <v>20</v>
      </c>
      <c r="E4" t="s">
        <v>21</v>
      </c>
      <c r="F4" t="s">
        <v>22</v>
      </c>
      <c r="G4" t="s">
        <v>23</v>
      </c>
      <c r="H4" t="s">
        <v>5</v>
      </c>
      <c r="I4" t="s">
        <v>19</v>
      </c>
    </row>
    <row r="5" spans="2:9" x14ac:dyDescent="0.25">
      <c r="B5" t="s">
        <v>16</v>
      </c>
      <c r="C5">
        <v>1</v>
      </c>
      <c r="D5">
        <v>13</v>
      </c>
      <c r="F5" s="1"/>
      <c r="G5" t="s">
        <v>83</v>
      </c>
      <c r="H5" s="1">
        <v>1</v>
      </c>
      <c r="I5" t="str">
        <f>CHASSIS(D5,E5,F5,G5,H5)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6" spans="2:9" x14ac:dyDescent="0.25">
      <c r="B6" t="s">
        <v>16</v>
      </c>
      <c r="C6">
        <v>1</v>
      </c>
      <c r="D6">
        <v>12</v>
      </c>
      <c r="F6" s="1"/>
      <c r="G6" t="s">
        <v>83</v>
      </c>
      <c r="H6" s="1">
        <v>1</v>
      </c>
      <c r="I6" t="str">
        <f>CHASSIS(D6,E6,F6,G6,H6)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7" spans="2:9" x14ac:dyDescent="0.25">
      <c r="B7" t="s">
        <v>16</v>
      </c>
      <c r="C7">
        <v>1</v>
      </c>
      <c r="D7">
        <v>11</v>
      </c>
      <c r="F7" s="1"/>
      <c r="G7" t="s">
        <v>83</v>
      </c>
      <c r="H7" s="1">
        <v>1</v>
      </c>
      <c r="I7" t="str">
        <f>CHASSIS(D7,E7,F7,G7,H7)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8" spans="2:9" x14ac:dyDescent="0.25">
      <c r="B8" t="s">
        <v>16</v>
      </c>
      <c r="C8">
        <v>1</v>
      </c>
      <c r="D8">
        <v>10</v>
      </c>
      <c r="F8" s="1"/>
      <c r="G8" t="s">
        <v>83</v>
      </c>
      <c r="H8" s="1">
        <v>1</v>
      </c>
      <c r="I8" t="str">
        <f>CHASSIS(D8,E8,F8,G8,H8)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9" spans="2:9" x14ac:dyDescent="0.25">
      <c r="B9" t="s">
        <v>16</v>
      </c>
      <c r="C9">
        <v>1</v>
      </c>
      <c r="D9">
        <v>9</v>
      </c>
      <c r="F9" s="1"/>
      <c r="G9" t="s">
        <v>84</v>
      </c>
      <c r="H9" s="1">
        <v>4</v>
      </c>
      <c r="I9" t="str">
        <f>CHASSIS(D9,E9,F9,G9,H9)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0" spans="2:9" x14ac:dyDescent="0.25">
      <c r="B10" t="s">
        <v>16</v>
      </c>
      <c r="C10">
        <v>1</v>
      </c>
      <c r="D10">
        <v>8</v>
      </c>
      <c r="G10" t="s">
        <v>85</v>
      </c>
      <c r="H10" s="1">
        <v>6</v>
      </c>
      <c r="I10" t="str">
        <f>CHASSIS(D10,E10,F10,G10,H10)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</v>
      </c>
    </row>
    <row r="11" spans="2:9" x14ac:dyDescent="0.25">
      <c r="B11" t="s">
        <v>16</v>
      </c>
      <c r="C11">
        <v>1</v>
      </c>
      <c r="D11">
        <v>7</v>
      </c>
      <c r="G11" t="s">
        <v>86</v>
      </c>
      <c r="H11" s="1">
        <v>5</v>
      </c>
      <c r="I11" t="str">
        <f>CHASSIS(D11,E11,F11,G11,H11)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</v>
      </c>
    </row>
    <row r="12" spans="2:9" x14ac:dyDescent="0.25">
      <c r="B12" t="s">
        <v>16</v>
      </c>
      <c r="C12">
        <v>1</v>
      </c>
      <c r="D12">
        <v>6</v>
      </c>
      <c r="G12" t="s">
        <v>84</v>
      </c>
      <c r="H12" s="1">
        <v>4</v>
      </c>
      <c r="I12" t="str">
        <f>CHASSIS(D12,E12,F12,G12,H12)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3" spans="2:9" x14ac:dyDescent="0.25">
      <c r="B13" t="s">
        <v>16</v>
      </c>
      <c r="C13">
        <v>1</v>
      </c>
      <c r="D13">
        <v>5</v>
      </c>
      <c r="G13" t="s">
        <v>83</v>
      </c>
      <c r="H13" s="1">
        <v>1</v>
      </c>
      <c r="I13" t="str">
        <f>CHASSIS(D13,E13,F13,G13,H13)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4" spans="2:9" x14ac:dyDescent="0.25">
      <c r="B14" t="s">
        <v>16</v>
      </c>
      <c r="C14">
        <v>1</v>
      </c>
      <c r="D14">
        <v>4</v>
      </c>
      <c r="G14" t="s">
        <v>83</v>
      </c>
      <c r="H14" s="1">
        <v>1</v>
      </c>
      <c r="I14" t="str">
        <f>CHASSIS(D14,E14,F14,G14,H14)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5" spans="2:9" x14ac:dyDescent="0.25">
      <c r="B15" t="s">
        <v>16</v>
      </c>
      <c r="C15">
        <v>1</v>
      </c>
      <c r="D15">
        <v>3</v>
      </c>
      <c r="G15" t="s">
        <v>83</v>
      </c>
      <c r="H15" s="1">
        <v>1</v>
      </c>
      <c r="I15" t="str">
        <f>CHASSIS(D15,E15,F15,G15,H15)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6" spans="2:9" x14ac:dyDescent="0.25">
      <c r="B16" t="s">
        <v>16</v>
      </c>
      <c r="C16">
        <v>1</v>
      </c>
      <c r="D16">
        <v>2</v>
      </c>
      <c r="G16" t="s">
        <v>83</v>
      </c>
      <c r="H16" s="1">
        <v>1</v>
      </c>
      <c r="I16" t="str">
        <f>CHASSIS(D16,E16,F16,G16,H16)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7" spans="2:9" x14ac:dyDescent="0.25">
      <c r="B17" t="s">
        <v>16</v>
      </c>
      <c r="C17">
        <v>2</v>
      </c>
      <c r="D17">
        <v>13</v>
      </c>
      <c r="G17" t="s">
        <v>83</v>
      </c>
      <c r="H17" s="1">
        <v>1</v>
      </c>
      <c r="I17" t="str">
        <f>CHASSIS(D17,E17,F17,G17,H17)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8" spans="2:9" x14ac:dyDescent="0.25">
      <c r="B18" t="s">
        <v>16</v>
      </c>
      <c r="C18">
        <v>2</v>
      </c>
      <c r="D18">
        <v>12</v>
      </c>
      <c r="G18" t="s">
        <v>83</v>
      </c>
      <c r="H18" s="1">
        <v>1</v>
      </c>
      <c r="I18" t="str">
        <f>CHASSIS(D18,E18,F18,G18,H18)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9" spans="2:9" x14ac:dyDescent="0.25">
      <c r="B19" t="s">
        <v>16</v>
      </c>
      <c r="C19">
        <v>2</v>
      </c>
      <c r="D19">
        <v>11</v>
      </c>
      <c r="F19" s="1"/>
      <c r="G19" t="s">
        <v>83</v>
      </c>
      <c r="H19" s="1">
        <v>1</v>
      </c>
      <c r="I19" t="str">
        <f>CHASSIS(D19,E19,F19,G19,H19)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0" spans="2:9" x14ac:dyDescent="0.25">
      <c r="B20" t="s">
        <v>16</v>
      </c>
      <c r="C20">
        <v>2</v>
      </c>
      <c r="D20">
        <v>10</v>
      </c>
      <c r="F20" s="1"/>
      <c r="G20" t="s">
        <v>83</v>
      </c>
      <c r="H20" s="1">
        <v>1</v>
      </c>
      <c r="I20" t="str">
        <f>CHASSIS(D20,E20,F20,G20,H20)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1" spans="2:9" x14ac:dyDescent="0.25">
      <c r="B21" t="s">
        <v>16</v>
      </c>
      <c r="C21">
        <v>2</v>
      </c>
      <c r="D21">
        <v>9</v>
      </c>
      <c r="F21" s="1"/>
      <c r="G21" t="s">
        <v>84</v>
      </c>
      <c r="H21" s="1">
        <v>4</v>
      </c>
      <c r="I21" t="str">
        <f>CHASSIS(D21,E21,F21,G21,H21)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22" spans="2:9" x14ac:dyDescent="0.25">
      <c r="B22" t="s">
        <v>16</v>
      </c>
      <c r="C22">
        <v>2</v>
      </c>
      <c r="D22">
        <v>8</v>
      </c>
      <c r="F22" s="1"/>
      <c r="G22" t="s">
        <v>85</v>
      </c>
      <c r="H22" s="1">
        <v>6</v>
      </c>
      <c r="I22" t="str">
        <f>CHASSIS(D22,E22,F22,G22,H22)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</v>
      </c>
    </row>
    <row r="23" spans="2:9" x14ac:dyDescent="0.25">
      <c r="B23" t="s">
        <v>16</v>
      </c>
      <c r="C23">
        <v>2</v>
      </c>
      <c r="D23">
        <v>7</v>
      </c>
      <c r="F23" s="1"/>
      <c r="G23" t="s">
        <v>86</v>
      </c>
      <c r="H23" s="1">
        <v>5</v>
      </c>
      <c r="I23" t="str">
        <f>CHASSIS(D23,E23,F23,G23,H23)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</v>
      </c>
    </row>
    <row r="24" spans="2:9" x14ac:dyDescent="0.25">
      <c r="B24" t="s">
        <v>16</v>
      </c>
      <c r="C24">
        <v>2</v>
      </c>
      <c r="D24">
        <v>6</v>
      </c>
      <c r="G24" t="s">
        <v>84</v>
      </c>
      <c r="H24" s="1">
        <v>4</v>
      </c>
      <c r="I24" t="str">
        <f>CHASSIS(D24,E24,F24,G24,H24)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25" spans="2:9" x14ac:dyDescent="0.25">
      <c r="B25" t="s">
        <v>16</v>
      </c>
      <c r="C25">
        <v>2</v>
      </c>
      <c r="D25">
        <v>5</v>
      </c>
      <c r="G25" t="s">
        <v>83</v>
      </c>
      <c r="H25" s="1">
        <v>1</v>
      </c>
      <c r="I25" t="str">
        <f>CHASSIS(D25,E25,F25,G25,H25)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6" spans="2:9" x14ac:dyDescent="0.25">
      <c r="B26" t="s">
        <v>16</v>
      </c>
      <c r="C26">
        <v>2</v>
      </c>
      <c r="D26">
        <v>4</v>
      </c>
      <c r="G26" t="s">
        <v>83</v>
      </c>
      <c r="H26" s="1">
        <v>1</v>
      </c>
      <c r="I26" t="str">
        <f>CHASSIS(D26,E26,F26,G26,H26)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7" spans="2:9" x14ac:dyDescent="0.25">
      <c r="B27" t="s">
        <v>16</v>
      </c>
      <c r="C27">
        <v>2</v>
      </c>
      <c r="D27">
        <v>3</v>
      </c>
      <c r="G27" t="s">
        <v>83</v>
      </c>
      <c r="H27" s="1">
        <v>1</v>
      </c>
      <c r="I27" t="str">
        <f>CHASSIS(D27,E27,F27,G27,H27)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8" spans="2:9" x14ac:dyDescent="0.25">
      <c r="B28" t="s">
        <v>16</v>
      </c>
      <c r="C28">
        <v>2</v>
      </c>
      <c r="D28">
        <v>2</v>
      </c>
      <c r="G28" t="s">
        <v>83</v>
      </c>
      <c r="H28" s="1">
        <v>1</v>
      </c>
      <c r="I28" t="str">
        <f>CHASSIS(D28,E28,F28,G28,H28)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9" spans="2:9" x14ac:dyDescent="0.25">
      <c r="B29" t="s">
        <v>16</v>
      </c>
      <c r="C29">
        <v>3</v>
      </c>
      <c r="D29">
        <v>13</v>
      </c>
      <c r="G29" t="s">
        <v>88</v>
      </c>
      <c r="H29" s="1">
        <v>33</v>
      </c>
      <c r="I29" t="str">
        <f>CHASSIS(D29,E29,F29,G29,H29)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&lt;chassisuilabel&gt;CCU Panel X&lt;/chassisuilabel&gt;_x000D_
			&lt;chassistype&gt;33&lt;/chassistype&gt;_x000D_
		&lt;/chassis&gt;_x000D_
</v>
      </c>
    </row>
    <row r="30" spans="2:9" x14ac:dyDescent="0.25">
      <c r="B30" t="s">
        <v>16</v>
      </c>
      <c r="C30">
        <v>3</v>
      </c>
      <c r="D30">
        <v>12</v>
      </c>
      <c r="G30" t="s">
        <v>89</v>
      </c>
      <c r="H30" s="1">
        <v>32</v>
      </c>
      <c r="I30" t="str">
        <f>CHASSIS(D30,E30,F30,G30,H30)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&lt;chassisuilabel&gt;CCU Panel X and VI&lt;/chassisuilabel&gt;_x000D_
			&lt;chassistype&gt;32&lt;/chassistype&gt;_x000D_
		&lt;/chassis&gt;_x000D_
</v>
      </c>
    </row>
    <row r="31" spans="2:9" x14ac:dyDescent="0.25">
      <c r="B31" t="s">
        <v>16</v>
      </c>
      <c r="C31">
        <v>3</v>
      </c>
      <c r="D31">
        <v>11</v>
      </c>
      <c r="G31" t="s">
        <v>90</v>
      </c>
      <c r="H31" s="1">
        <v>26</v>
      </c>
      <c r="I31" t="str">
        <f>CHASSIS(D31,E31,F31,G31,H31)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&lt;chassisuilabel&gt;Partial Product Adder&lt;/chassisuilabel&gt;_x000D_
			&lt;chassistype&gt;26&lt;/chassistype&gt;_x000D_
		&lt;/chassis&gt;_x000D_
</v>
      </c>
    </row>
    <row r="32" spans="2:9" x14ac:dyDescent="0.25">
      <c r="B32" t="s">
        <v>16</v>
      </c>
      <c r="C32">
        <v>3</v>
      </c>
      <c r="D32">
        <v>10</v>
      </c>
      <c r="G32" t="s">
        <v>91</v>
      </c>
      <c r="H32" s="1">
        <v>27</v>
      </c>
      <c r="I32" t="str">
        <f>CHASSIS(D32,E32,F32,G32,H32)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&lt;chassisuilabel&gt;Complementer Unit&lt;/chassisuilabel&gt;_x000D_
			&lt;chassistype&gt;27&lt;/chassistype&gt;_x000D_
		&lt;/chassis&gt;_x000D_
</v>
      </c>
    </row>
    <row r="33" spans="2:9" x14ac:dyDescent="0.25">
      <c r="B33" t="s">
        <v>16</v>
      </c>
      <c r="C33">
        <v>3</v>
      </c>
      <c r="D33">
        <v>9</v>
      </c>
      <c r="F33" s="1"/>
      <c r="G33" t="s">
        <v>92</v>
      </c>
      <c r="H33" s="1">
        <v>28</v>
      </c>
      <c r="I33" t="str">
        <f>CHASSIS(D33,E33,F33,G33,H33)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&lt;chassisuilabel&gt;Collater Unit&lt;/chassisuilabel&gt;_x000D_
			&lt;chassistype&gt;28&lt;/chassistype&gt;_x000D_
		&lt;/chassis&gt;_x000D_
</v>
      </c>
    </row>
    <row r="34" spans="2:9" x14ac:dyDescent="0.25">
      <c r="B34" t="s">
        <v>16</v>
      </c>
      <c r="C34">
        <v>3</v>
      </c>
      <c r="D34">
        <v>8</v>
      </c>
      <c r="F34" s="1"/>
      <c r="G34" t="s">
        <v>93</v>
      </c>
      <c r="H34" s="1">
        <v>29</v>
      </c>
      <c r="I34" t="str">
        <f>CHASSIS(D34,E34,F34,G34,H34)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&lt;chassisuilabel&gt;Distributing Unit 3&lt;/chassisuilabel&gt;_x000D_
			&lt;chassistype&gt;29&lt;/chassistype&gt;_x000D_
		&lt;/chassis&gt;_x000D_
</v>
      </c>
    </row>
    <row r="35" spans="2:9" x14ac:dyDescent="0.25">
      <c r="B35" t="s">
        <v>16</v>
      </c>
      <c r="C35">
        <v>3</v>
      </c>
      <c r="D35">
        <v>7</v>
      </c>
      <c r="F35" s="1"/>
      <c r="G35" t="s">
        <v>94</v>
      </c>
      <c r="H35" s="1">
        <v>7</v>
      </c>
      <c r="I35" t="str">
        <f>CHASSIS(D35,E35,F35,G35,H35)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&lt;chassisuilabel&gt;Half Adder 2&lt;/chassisuilabel&gt;_x000D_
			&lt;chassistype&gt;7&lt;/chassistype&gt;_x000D_
		&lt;/chassis&gt;_x000D_
</v>
      </c>
    </row>
    <row r="36" spans="2:9" x14ac:dyDescent="0.25">
      <c r="B36" t="s">
        <v>16</v>
      </c>
      <c r="C36">
        <v>3</v>
      </c>
      <c r="D36">
        <v>6</v>
      </c>
      <c r="F36" s="1"/>
      <c r="G36" t="s">
        <v>95</v>
      </c>
      <c r="H36" s="1">
        <v>7</v>
      </c>
      <c r="I36" t="str">
        <f>CHASSIS(D36,E36,F36,G36,H36)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&lt;chassisuilabel&gt;Half Adder 1&lt;/chassisuilabel&gt;_x000D_
			&lt;chassistype&gt;7&lt;/chassistype&gt;_x000D_
		&lt;/chassis&gt;_x000D_
</v>
      </c>
    </row>
    <row r="37" spans="2:9" x14ac:dyDescent="0.25">
      <c r="B37" t="s">
        <v>16</v>
      </c>
      <c r="C37">
        <v>3</v>
      </c>
      <c r="D37">
        <v>5</v>
      </c>
      <c r="F37" s="1"/>
      <c r="G37" t="s">
        <v>96</v>
      </c>
      <c r="H37" s="1">
        <v>1</v>
      </c>
      <c r="I37" t="str">
        <f>CHASSIS(D37,E37,F37,G37,H37)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&lt;chassisuilabel&gt;Accumulator Tank 2 Regen&lt;/chassisuilabel&gt;_x000D_
			&lt;chassistype&gt;1&lt;/chassistype&gt;_x000D_
		&lt;/chassis&gt;_x000D_
</v>
      </c>
    </row>
    <row r="38" spans="2:9" x14ac:dyDescent="0.25">
      <c r="B38" t="s">
        <v>16</v>
      </c>
      <c r="C38">
        <v>3</v>
      </c>
      <c r="D38">
        <v>4</v>
      </c>
      <c r="G38" t="s">
        <v>97</v>
      </c>
      <c r="H38" s="1">
        <v>1</v>
      </c>
      <c r="I38" t="str">
        <f>CHASSIS(D38,E38,F38,G38,H38)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&lt;chassisuilabel&gt;Accumulator Tank 1 Regen&lt;/chassisuilabel&gt;_x000D_
			&lt;chassistype&gt;1&lt;/chassistype&gt;_x000D_
		&lt;/chassis&gt;_x000D_
</v>
      </c>
    </row>
    <row r="39" spans="2:9" x14ac:dyDescent="0.25">
      <c r="B39" t="s">
        <v>16</v>
      </c>
      <c r="C39">
        <v>3</v>
      </c>
      <c r="D39">
        <v>3</v>
      </c>
      <c r="G39" t="s">
        <v>98</v>
      </c>
      <c r="H39" s="1">
        <v>16</v>
      </c>
      <c r="I39" t="str">
        <f>CHASSIS(D39,E39,F39,G39,H39)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&lt;chassisuilabel&gt;ASU 1&lt;/chassisuilabel&gt;_x000D_
			&lt;chassistype&gt;16&lt;/chassistype&gt;_x000D_
		&lt;/chassis&gt;_x000D_
</v>
      </c>
    </row>
    <row r="40" spans="2:9" x14ac:dyDescent="0.25">
      <c r="B40" t="s">
        <v>16</v>
      </c>
      <c r="C40">
        <v>3</v>
      </c>
      <c r="D40">
        <v>2</v>
      </c>
      <c r="G40" t="s">
        <v>99</v>
      </c>
      <c r="H40" s="1">
        <v>17</v>
      </c>
      <c r="I40" t="str">
        <f>CHASSIS(D40,E40,F40,G40,H40)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&lt;chassisuilabel&gt;ASU 2&lt;/chassisuilabel&gt;_x000D_
			&lt;chassistype&gt;17&lt;/chassistype&gt;_x000D_
		&lt;/chassis&gt;_x000D_
</v>
      </c>
    </row>
    <row r="41" spans="2:9" x14ac:dyDescent="0.25">
      <c r="B41" t="s">
        <v>16</v>
      </c>
      <c r="C41">
        <v>4</v>
      </c>
      <c r="D41">
        <v>13</v>
      </c>
      <c r="G41" t="s">
        <v>100</v>
      </c>
      <c r="H41" s="1">
        <v>37</v>
      </c>
      <c r="I41" t="str">
        <f>CHASSIS(D41,E41,F41,G41,H41)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&lt;chassisuilabel&gt;Multiplier Logic&lt;/chassisuilabel&gt;_x000D_
			&lt;chassistype&gt;37&lt;/chassistype&gt;_x000D_
		&lt;/chassis&gt;_x000D_
</v>
      </c>
    </row>
    <row r="42" spans="2:9" x14ac:dyDescent="0.25">
      <c r="B42" t="s">
        <v>16</v>
      </c>
      <c r="C42">
        <v>4</v>
      </c>
      <c r="D42">
        <v>12</v>
      </c>
      <c r="G42" t="s">
        <v>101</v>
      </c>
      <c r="H42" s="1">
        <v>1</v>
      </c>
      <c r="I42" t="str">
        <f>CHASSIS(D42,E42,F42,G42,H42)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&lt;chassisuilabel&gt;Multiplier Tank Regen&lt;/chassisuilabel&gt;_x000D_
			&lt;chassistype&gt;1&lt;/chassistype&gt;_x000D_
		&lt;/chassis&gt;_x000D_
</v>
      </c>
    </row>
    <row r="43" spans="2:9" x14ac:dyDescent="0.25">
      <c r="B43" t="s">
        <v>16</v>
      </c>
      <c r="C43">
        <v>4</v>
      </c>
      <c r="D43">
        <v>11</v>
      </c>
      <c r="G43" t="s">
        <v>102</v>
      </c>
      <c r="H43" s="1">
        <v>36</v>
      </c>
      <c r="I43" t="str">
        <f>CHASSIS(D43,E43,F43,G43,H43)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&lt;chassisuilabel&gt;Multiplicand Shifting Unit&lt;/chassisuilabel&gt;_x000D_
			&lt;chassistype&gt;36&lt;/chassistype&gt;_x000D_
		&lt;/chassis&gt;_x000D_
</v>
      </c>
    </row>
    <row r="44" spans="2:9" x14ac:dyDescent="0.25">
      <c r="B44" t="s">
        <v>16</v>
      </c>
      <c r="C44">
        <v>4</v>
      </c>
      <c r="D44">
        <v>10</v>
      </c>
      <c r="G44" t="s">
        <v>103</v>
      </c>
      <c r="H44" s="1">
        <v>1</v>
      </c>
      <c r="I44" t="str">
        <f>CHASSIS(D44,E44,F44,G44,H44)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&lt;chassisuilabel&gt;Multiplicand Tank Regen&lt;/chassisuilabel&gt;_x000D_
			&lt;chassistype&gt;1&lt;/chassistype&gt;_x000D_
		&lt;/chassis&gt;_x000D_
</v>
      </c>
    </row>
    <row r="45" spans="2:9" x14ac:dyDescent="0.25">
      <c r="B45" t="s">
        <v>16</v>
      </c>
      <c r="C45">
        <v>4</v>
      </c>
      <c r="D45">
        <v>9</v>
      </c>
      <c r="G45" t="s">
        <v>104</v>
      </c>
      <c r="H45" s="1">
        <v>47</v>
      </c>
      <c r="I45" t="str">
        <f>CHASSIS(D45,E45,F45,G45,H45)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&lt;chassisuilabel&gt;Digit Pulse Distributor Unit&lt;/chassisuilabel&gt;_x000D_
			&lt;chassistype&gt;47&lt;/chassistype&gt;_x000D_
		&lt;/chassis&gt;_x000D_
</v>
      </c>
    </row>
    <row r="46" spans="2:9" x14ac:dyDescent="0.25">
      <c r="B46" t="s">
        <v>16</v>
      </c>
      <c r="C46">
        <v>4</v>
      </c>
      <c r="D46">
        <v>8</v>
      </c>
      <c r="G46" t="s">
        <v>105</v>
      </c>
      <c r="H46" s="1">
        <v>34</v>
      </c>
      <c r="I46" t="str">
        <f>CHASSIS(D46,E46,F46,G46,H46)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&lt;chassisuilabel&gt;CCU Panel IV&lt;/chassisuilabel&gt;_x000D_
			&lt;chassistype&gt;34&lt;/chassistype&gt;_x000D_
		&lt;/chassis&gt;_x000D_
</v>
      </c>
    </row>
    <row r="47" spans="2:9" x14ac:dyDescent="0.25">
      <c r="B47" t="s">
        <v>16</v>
      </c>
      <c r="C47">
        <v>4</v>
      </c>
      <c r="D47">
        <v>7</v>
      </c>
      <c r="G47" t="s">
        <v>106</v>
      </c>
      <c r="H47">
        <v>1</v>
      </c>
      <c r="I47" t="str">
        <f>CHASSIS(D47,E47,F47,G47,H47)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&lt;chassisuilabel&gt;TCT Regen&lt;/chassisuilabel&gt;_x000D_
			&lt;chassistype&gt;1&lt;/chassistype&gt;_x000D_
		&lt;/chassis&gt;_x000D_
</v>
      </c>
    </row>
    <row r="48" spans="2:9" x14ac:dyDescent="0.25">
      <c r="B48" t="s">
        <v>16</v>
      </c>
      <c r="C48">
        <v>4</v>
      </c>
      <c r="D48">
        <v>6</v>
      </c>
      <c r="G48" t="s">
        <v>107</v>
      </c>
      <c r="H48">
        <v>35</v>
      </c>
      <c r="I48" t="str">
        <f>CHASSIS(D48,E48,F48,G48,H48)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&lt;chassisuilabel&gt;TCT Shifting Control&lt;/chassisuilabel&gt;_x000D_
			&lt;chassistype&gt;35&lt;/chassistype&gt;_x000D_
		&lt;/chassis&gt;_x000D_
</v>
      </c>
    </row>
    <row r="49" spans="2:9" x14ac:dyDescent="0.25">
      <c r="B49" t="s">
        <v>16</v>
      </c>
      <c r="C49">
        <v>4</v>
      </c>
      <c r="D49">
        <v>5</v>
      </c>
      <c r="G49" t="s">
        <v>108</v>
      </c>
      <c r="H49">
        <v>52</v>
      </c>
      <c r="I49" t="str">
        <f>CHASSIS(D49,E49,F49,G49,H49)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&lt;chassisuilabel&gt;CCU Panel II&lt;/chassisuilabel&gt;_x000D_
			&lt;chassistype&gt;52&lt;/chassistype&gt;_x000D_
		&lt;/chassis&gt;_x000D_
</v>
      </c>
    </row>
    <row r="50" spans="2:9" x14ac:dyDescent="0.25">
      <c r="B50" t="s">
        <v>16</v>
      </c>
      <c r="C50">
        <v>4</v>
      </c>
      <c r="D50">
        <v>4</v>
      </c>
      <c r="G50" t="s">
        <v>109</v>
      </c>
      <c r="H50">
        <v>49</v>
      </c>
      <c r="I50" t="str">
        <f>CHASSIS(D50,E50,F50,G50,H50)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&lt;chassisuilabel&gt;Accumulator Testing Unit&lt;/chassisuilabel&gt;_x000D_
			&lt;chassistype&gt;49&lt;/chassistype&gt;_x000D_
		&lt;/chassis&gt;_x000D_
</v>
      </c>
    </row>
    <row r="51" spans="2:9" x14ac:dyDescent="0.25">
      <c r="B51" t="s">
        <v>16</v>
      </c>
      <c r="C51">
        <v>4</v>
      </c>
      <c r="D51">
        <v>3</v>
      </c>
      <c r="G51" t="s">
        <v>110</v>
      </c>
      <c r="H51" t="s">
        <v>112</v>
      </c>
      <c r="I51" t="str">
        <f>CHASSIS(D51,E51,F51,G51,H51)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&lt;chassisuilabel&gt;CCU Panel VI&lt;/chassisuilabel&gt;_x000D_
			&lt;chassistype&gt;??&lt;/chassistype&gt;_x000D_
		&lt;/chassis&gt;_x000D_
</v>
      </c>
    </row>
    <row r="52" spans="2:9" x14ac:dyDescent="0.25">
      <c r="B52" t="s">
        <v>16</v>
      </c>
      <c r="C52">
        <v>4</v>
      </c>
      <c r="D52">
        <v>2</v>
      </c>
      <c r="G52" t="s">
        <v>111</v>
      </c>
      <c r="H52">
        <v>53</v>
      </c>
      <c r="I52" t="str">
        <f>CHASSIS(D52,E52,F52,G52,H52)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&lt;chassisuilabel&gt;CCU Panel III&lt;/chassisuilabel&gt;_x000D_
			&lt;chassistype&gt;53&lt;/chassistype&gt;_x000D_
		&lt;/chassis&gt;_x000D_
</v>
      </c>
    </row>
    <row r="53" spans="2:9" x14ac:dyDescent="0.25">
      <c r="B53" t="s">
        <v>16</v>
      </c>
      <c r="C53">
        <v>5</v>
      </c>
      <c r="D53">
        <v>13</v>
      </c>
      <c r="G53" t="s">
        <v>113</v>
      </c>
      <c r="H53">
        <v>50</v>
      </c>
      <c r="I53" t="str">
        <f>CHASSIS(D53,E53,F53,G53,H53)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&lt;chassisuilabel&gt;Buffers ?&lt;/chassisuilabel&gt;_x000D_
			&lt;chassistype&gt;50&lt;/chassistype&gt;_x000D_
		&lt;/chassis&gt;_x000D_
</v>
      </c>
    </row>
    <row r="54" spans="2:9" x14ac:dyDescent="0.25">
      <c r="B54" t="s">
        <v>16</v>
      </c>
      <c r="C54">
        <v>5</v>
      </c>
      <c r="D54">
        <v>12</v>
      </c>
      <c r="G54" t="s">
        <v>114</v>
      </c>
      <c r="H54" t="s">
        <v>112</v>
      </c>
      <c r="I54" t="str">
        <f>CHASSIS(D54,E54,F54,G54,H54)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&lt;chassisuilabel&gt;Maintenance Panel&lt;/chassisuilabel&gt;_x000D_
			&lt;chassistype&gt;??&lt;/chassistype&gt;_x000D_
		&lt;/chassis&gt;_x000D_
</v>
      </c>
    </row>
    <row r="55" spans="2:9" x14ac:dyDescent="0.25">
      <c r="B55" t="s">
        <v>16</v>
      </c>
      <c r="C55">
        <v>5</v>
      </c>
      <c r="D55">
        <v>11</v>
      </c>
      <c r="G55" t="s">
        <v>115</v>
      </c>
      <c r="H55">
        <v>57</v>
      </c>
      <c r="I55" t="str">
        <f>CHASSIS(D55,E55,F55,G55,H55)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&lt;chassisuilabel&gt;CCU Panel VII&lt;/chassisuilabel&gt;_x000D_
			&lt;chassistype&gt;57&lt;/chassistype&gt;_x000D_
		&lt;/chassis&gt;_x000D_
</v>
      </c>
    </row>
    <row r="56" spans="2:9" x14ac:dyDescent="0.25">
      <c r="B56" t="s">
        <v>16</v>
      </c>
      <c r="C56">
        <v>5</v>
      </c>
      <c r="D56">
        <v>9</v>
      </c>
      <c r="G56" t="s">
        <v>116</v>
      </c>
      <c r="H56">
        <v>51</v>
      </c>
      <c r="I56" t="str">
        <f>CHASSIS(D56,E56,F56,G56,H56)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&lt;chassisuilabel&gt;CCU Panel I&lt;/chassisuilabel&gt;_x000D_
			&lt;chassistype&gt;51&lt;/chassistype&gt;_x000D_
		&lt;/chassis&gt;_x000D_
</v>
      </c>
    </row>
    <row r="57" spans="2:9" x14ac:dyDescent="0.25">
      <c r="B57" t="s">
        <v>16</v>
      </c>
      <c r="C57">
        <v>5</v>
      </c>
      <c r="D57">
        <v>8</v>
      </c>
      <c r="G57" t="s">
        <v>117</v>
      </c>
      <c r="H57">
        <v>58</v>
      </c>
      <c r="I57" t="str">
        <f>CHASSIS(D57,E57,F57,G57,H57)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&lt;chassisuilabel&gt;CCU Panel VIII&lt;/chassisuilabel&gt;_x000D_
			&lt;chassistype&gt;58&lt;/chassistype&gt;_x000D_
		&lt;/chassis&gt;_x000D_
</v>
      </c>
    </row>
    <row r="58" spans="2:9" x14ac:dyDescent="0.25">
      <c r="B58" t="s">
        <v>16</v>
      </c>
      <c r="C58">
        <v>5</v>
      </c>
      <c r="D58">
        <v>7</v>
      </c>
      <c r="G58" t="s">
        <v>118</v>
      </c>
      <c r="H58">
        <v>55</v>
      </c>
      <c r="I58" t="str">
        <f>CHASSIS(D58,E58,F58,G58,H58)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&lt;chassisuilabel&gt;CCU Panel V&lt;/chassisuilabel&gt;_x000D_
			&lt;chassistype&gt;55&lt;/chassistype&gt;_x000D_
		&lt;/chassis&gt;_x000D_
</v>
      </c>
    </row>
    <row r="59" spans="2:9" x14ac:dyDescent="0.25">
      <c r="B59" t="s">
        <v>16</v>
      </c>
      <c r="C59">
        <v>5</v>
      </c>
      <c r="D59">
        <v>6</v>
      </c>
      <c r="G59" t="s">
        <v>119</v>
      </c>
      <c r="H59">
        <v>59</v>
      </c>
      <c r="I59" t="str">
        <f>CHASSIS(D59,E59,F59,G59,H59)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&lt;chassisuilabel&gt;CCU Panel IX&lt;/chassisuilabel&gt;_x000D_
			&lt;chassistype&gt;59&lt;/chassistype&gt;_x000D_
		&lt;/chassis&gt;_x000D_
</v>
      </c>
    </row>
    <row r="60" spans="2:9" x14ac:dyDescent="0.25">
      <c r="B60" t="s">
        <v>16</v>
      </c>
      <c r="C60">
        <v>5</v>
      </c>
      <c r="D60">
        <v>5</v>
      </c>
      <c r="G60" t="s">
        <v>120</v>
      </c>
      <c r="H60">
        <v>61</v>
      </c>
      <c r="I60" t="str">
        <f>CHASSIS(D60,E60,F60,G60,H60)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&lt;chassisuilabel&gt;CCU Panel XI&lt;/chassisuilabel&gt;_x000D_
			&lt;chassistype&gt;61&lt;/chassistype&gt;_x000D_
		&lt;/chassis&gt;_x000D_
</v>
      </c>
    </row>
    <row r="61" spans="2:9" x14ac:dyDescent="0.25">
      <c r="B61" t="s">
        <v>25</v>
      </c>
      <c r="C61">
        <v>1</v>
      </c>
      <c r="D61">
        <v>14</v>
      </c>
      <c r="G61" t="s">
        <v>121</v>
      </c>
      <c r="H61">
        <v>1</v>
      </c>
      <c r="I61" t="str">
        <f>CHASSIS(D61,E61,F61,G61,H61)</f>
        <v xml:space="preserve">		&lt;chassis&gt;_x000D_
			&lt;chassisnumber&gt;14&lt;/chassisnumber&gt;_x000D_
			&lt;chassisworldlabeltext&gt;&lt;/chassisworldlabeltext&gt;_x000D_
			&lt;chassisworldlabelnumber&gt;&lt;/chassisworldlabelnumber&gt;_x000D_
			&lt;chassisuilabel&gt;Counter Tank Regen&lt;/chassisuilabel&gt;_x000D_
			&lt;chassistype&gt;1&lt;/chassistype&gt;_x000D_
		&lt;/chassis&gt;_x000D_
</v>
      </c>
    </row>
    <row r="62" spans="2:9" x14ac:dyDescent="0.25">
      <c r="B62" t="s">
        <v>25</v>
      </c>
      <c r="C62">
        <v>1</v>
      </c>
      <c r="D62">
        <v>13</v>
      </c>
      <c r="G62" t="s">
        <v>122</v>
      </c>
      <c r="H62">
        <v>1</v>
      </c>
      <c r="I62" t="str">
        <f>CHASSIS(D62,E62,F62,G62,H62)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&lt;chassisuilabel&gt;Sequence Control Tank Regen&lt;/chassisuilabel&gt;_x000D_
			&lt;chassistype&gt;1&lt;/chassistype&gt;_x000D_
		&lt;/chassis&gt;_x000D_
</v>
      </c>
    </row>
    <row r="63" spans="2:9" x14ac:dyDescent="0.25">
      <c r="B63" t="s">
        <v>25</v>
      </c>
      <c r="C63">
        <v>1</v>
      </c>
      <c r="D63">
        <v>12</v>
      </c>
      <c r="G63" t="s">
        <v>123</v>
      </c>
      <c r="H63">
        <v>1</v>
      </c>
      <c r="I63" t="str">
        <f>CHASSIS(D63,E63,F63,G63,H63)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&lt;chassisuilabel&gt;Order Tank Regen&lt;/chassisuilabel&gt;_x000D_
			&lt;chassistype&gt;1&lt;/chassistype&gt;_x000D_
		&lt;/chassis&gt;_x000D_
</v>
      </c>
    </row>
    <row r="64" spans="2:9" x14ac:dyDescent="0.25">
      <c r="B64" t="s">
        <v>25</v>
      </c>
      <c r="C64">
        <v>1</v>
      </c>
      <c r="D64">
        <v>11</v>
      </c>
      <c r="G64" t="s">
        <v>124</v>
      </c>
      <c r="H64">
        <v>13</v>
      </c>
      <c r="I64" t="str">
        <f>CHASSIS(D64,E64,F64,G64,H64)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&lt;chassisuilabel&gt;Coincidence Unit 3&lt;/chassisuilabel&gt;_x000D_
			&lt;chassistype&gt;13&lt;/chassistype&gt;_x000D_
		&lt;/chassis&gt;_x000D_
</v>
      </c>
    </row>
    <row r="65" spans="2:9" x14ac:dyDescent="0.25">
      <c r="B65" t="s">
        <v>25</v>
      </c>
      <c r="C65">
        <v>1</v>
      </c>
      <c r="D65">
        <v>10</v>
      </c>
      <c r="G65" t="s">
        <v>125</v>
      </c>
      <c r="H65">
        <v>7</v>
      </c>
      <c r="I65" t="str">
        <f>CHASSIS(D65,E65,F65,G65,H65)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&lt;chassisuilabel&gt;Counter Half Adder&lt;/chassisuilabel&gt;_x000D_
			&lt;chassistype&gt;7&lt;/chassistype&gt;_x000D_
		&lt;/chassis&gt;_x000D_
</v>
      </c>
    </row>
    <row r="66" spans="2:9" x14ac:dyDescent="0.25">
      <c r="B66" t="s">
        <v>25</v>
      </c>
      <c r="C66">
        <v>1</v>
      </c>
      <c r="D66">
        <v>9</v>
      </c>
      <c r="G66" t="s">
        <v>126</v>
      </c>
      <c r="H66">
        <v>7</v>
      </c>
      <c r="I66" t="str">
        <f>CHASSIS(D66,E66,F66,G66,H66)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&lt;chassisuilabel&gt;SCT Half Adder&lt;/chassisuilabel&gt;_x000D_
			&lt;chassistype&gt;7&lt;/chassistype&gt;_x000D_
		&lt;/chassis&gt;_x000D_
</v>
      </c>
    </row>
    <row r="67" spans="2:9" x14ac:dyDescent="0.25">
      <c r="B67" t="s">
        <v>25</v>
      </c>
      <c r="C67">
        <v>1</v>
      </c>
      <c r="D67">
        <v>8</v>
      </c>
      <c r="G67" t="s">
        <v>127</v>
      </c>
      <c r="H67">
        <v>46</v>
      </c>
      <c r="I67" t="str">
        <f>CHASSIS(D67,E67,F67,G67,H67)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&lt;chassisuilabel&gt;Order Tank Control&lt;/chassisuilabel&gt;_x000D_
			&lt;chassistype&gt;46&lt;/chassistype&gt;_x000D_
		&lt;/chassis&gt;_x000D_
</v>
      </c>
    </row>
    <row r="68" spans="2:9" x14ac:dyDescent="0.25">
      <c r="B68" t="s">
        <v>25</v>
      </c>
      <c r="C68">
        <v>1</v>
      </c>
      <c r="D68">
        <v>7</v>
      </c>
      <c r="G68" t="s">
        <v>128</v>
      </c>
      <c r="H68">
        <v>41</v>
      </c>
      <c r="I68" t="str">
        <f>CHASSIS(D68,E68,F68,G68,H68)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&lt;chassisuilabel&gt;Counter + SCT Control&lt;/chassisuilabel&gt;_x000D_
			&lt;chassistype&gt;41&lt;/chassistype&gt;_x000D_
		&lt;/chassis&gt;_x000D_
</v>
      </c>
    </row>
    <row r="69" spans="2:9" x14ac:dyDescent="0.25">
      <c r="B69" t="s">
        <v>25</v>
      </c>
      <c r="C69">
        <v>1</v>
      </c>
      <c r="D69">
        <v>6</v>
      </c>
      <c r="G69" t="s">
        <v>129</v>
      </c>
      <c r="H69">
        <v>11</v>
      </c>
      <c r="I69" t="str">
        <f>CHASSIS(D69,E69,F69,G69,H69)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&lt;chassisuilabel&gt;Coincidence Unit 1&lt;/chassisuilabel&gt;_x000D_
			&lt;chassistype&gt;11&lt;/chassistype&gt;_x000D_
		&lt;/chassis&gt;_x000D_
</v>
      </c>
    </row>
    <row r="70" spans="2:9" x14ac:dyDescent="0.25">
      <c r="B70" t="s">
        <v>25</v>
      </c>
      <c r="C70">
        <v>1</v>
      </c>
      <c r="D70">
        <v>5</v>
      </c>
      <c r="G70" t="s">
        <v>130</v>
      </c>
      <c r="H70">
        <v>12</v>
      </c>
      <c r="I70" t="str">
        <f>CHASSIS(D70,E70,F70,G70,H70)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&lt;chassisuilabel&gt;Coincidence Unit 2&lt;/chassisuilabel&gt;_x000D_
			&lt;chassistype&gt;12&lt;/chassistype&gt;_x000D_
		&lt;/chassis&gt;_x000D_
</v>
      </c>
    </row>
    <row r="71" spans="2:9" x14ac:dyDescent="0.25">
      <c r="B71" t="s">
        <v>25</v>
      </c>
      <c r="C71">
        <v>1</v>
      </c>
      <c r="D71">
        <v>4</v>
      </c>
      <c r="G71" t="s">
        <v>131</v>
      </c>
      <c r="H71">
        <v>43</v>
      </c>
      <c r="I71" t="str">
        <f>CHASSIS(D71,E71,F71,G71,H71)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&lt;chassisuilabel&gt;Main Control Unit 1 M-1&lt;/chassisuilabel&gt;_x000D_
			&lt;chassistype&gt;43&lt;/chassistype&gt;_x000D_
		&lt;/chassis&gt;_x000D_
</v>
      </c>
    </row>
    <row r="72" spans="2:9" x14ac:dyDescent="0.25">
      <c r="B72" t="s">
        <v>25</v>
      </c>
      <c r="C72">
        <v>1</v>
      </c>
      <c r="D72">
        <v>3</v>
      </c>
      <c r="G72" t="s">
        <v>132</v>
      </c>
      <c r="H72">
        <v>45</v>
      </c>
      <c r="I72" t="str">
        <f>CHASSIS(D72,E72,F72,G72,H72)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&lt;chassisuilabel&gt;Main Control Unit 3 M-3&lt;/chassisuilabel&gt;_x000D_
			&lt;chassistype&gt;45&lt;/chassistype&gt;_x000D_
		&lt;/chassis&gt;_x000D_
</v>
      </c>
    </row>
    <row r="73" spans="2:9" x14ac:dyDescent="0.25">
      <c r="B73" t="s">
        <v>25</v>
      </c>
      <c r="C73">
        <v>1</v>
      </c>
      <c r="D73">
        <v>2</v>
      </c>
      <c r="G73" t="s">
        <v>133</v>
      </c>
      <c r="H73">
        <v>44</v>
      </c>
      <c r="I73" t="str">
        <f>CHASSIS(D73,E73,F73,G73,H73)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&lt;chassisuilabel&gt;Main Control Unit 2 M-2&lt;/chassisuilabel&gt;_x000D_
			&lt;chassistype&gt;44&lt;/chassistype&gt;_x000D_
		&lt;/chassis&gt;_x000D_
</v>
      </c>
    </row>
    <row r="74" spans="2:9" x14ac:dyDescent="0.25">
      <c r="B74" t="s">
        <v>25</v>
      </c>
      <c r="C74">
        <v>1</v>
      </c>
      <c r="D74">
        <v>1</v>
      </c>
      <c r="G74" t="s">
        <v>134</v>
      </c>
      <c r="H74">
        <v>38</v>
      </c>
      <c r="I74" t="str">
        <f>CHASSIS(D74,E74,F74,G74,H74)</f>
        <v xml:space="preserve">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</v>
      </c>
    </row>
    <row r="75" spans="2:9" x14ac:dyDescent="0.25">
      <c r="B75" t="s">
        <v>25</v>
      </c>
      <c r="C75">
        <v>2</v>
      </c>
      <c r="D75">
        <v>13</v>
      </c>
      <c r="G75" t="s">
        <v>135</v>
      </c>
      <c r="H75">
        <v>1</v>
      </c>
      <c r="I75" t="str">
        <f>CHASSIS(D75,E75,F75,G75,H75)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&lt;chassisuilabel&gt;Transfer Tank Regen&lt;/chassisuilabel&gt;_x000D_
			&lt;chassistype&gt;1&lt;/chassistype&gt;_x000D_
		&lt;/chassis&gt;_x000D_
</v>
      </c>
    </row>
    <row r="76" spans="2:9" x14ac:dyDescent="0.25">
      <c r="B76" t="s">
        <v>25</v>
      </c>
      <c r="C76">
        <v>2</v>
      </c>
      <c r="D76">
        <v>12</v>
      </c>
      <c r="G76" t="s">
        <v>136</v>
      </c>
      <c r="H76">
        <v>42</v>
      </c>
      <c r="I76" t="str">
        <f>CHASSIS(D76,E76,F76,G76,H76)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&lt;chassisuilabel&gt;Transfer Unit 1&lt;/chassisuilabel&gt;_x000D_
			&lt;chassistype&gt;42&lt;/chassistype&gt;_x000D_
		&lt;/chassis&gt;_x000D_
</v>
      </c>
    </row>
    <row r="77" spans="2:9" x14ac:dyDescent="0.25">
      <c r="B77" t="s">
        <v>25</v>
      </c>
      <c r="C77">
        <v>2</v>
      </c>
      <c r="D77">
        <v>11</v>
      </c>
      <c r="G77" t="s">
        <v>137</v>
      </c>
      <c r="H77">
        <v>40</v>
      </c>
      <c r="I77" t="str">
        <f>CHASSIS(D77,E77,F77,G77,H77)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&lt;chassisuilabel&gt;Transfer Unit 2&lt;/chassisuilabel&gt;_x000D_
			&lt;chassistype&gt;40&lt;/chassistype&gt;_x000D_
		&lt;/chassis&gt;_x000D_
</v>
      </c>
    </row>
    <row r="78" spans="2:9" x14ac:dyDescent="0.25">
      <c r="B78" t="s">
        <v>25</v>
      </c>
      <c r="C78">
        <v>2</v>
      </c>
      <c r="D78">
        <v>9</v>
      </c>
      <c r="G78" t="s">
        <v>138</v>
      </c>
      <c r="H78">
        <v>24</v>
      </c>
      <c r="I78" t="str">
        <f>CHASSIS(D78,E78,F78,G78,H78)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&lt;chassisuilabel&gt;Order Coder Unit Type 1 E-1&lt;/chassisuilabel&gt;_x000D_
			&lt;chassistype&gt;24&lt;/chassistype&gt;_x000D_
		&lt;/chassis&gt;_x000D_
</v>
      </c>
    </row>
    <row r="79" spans="2:9" x14ac:dyDescent="0.25">
      <c r="B79" t="s">
        <v>25</v>
      </c>
      <c r="C79">
        <v>2</v>
      </c>
      <c r="D79">
        <v>8</v>
      </c>
      <c r="G79" t="s">
        <v>139</v>
      </c>
      <c r="H79">
        <v>25</v>
      </c>
      <c r="I79" t="str">
        <f>CHASSIS(D79,E79,F79,G79,H79)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&lt;chassisuilabel&gt;Order Coder Unit Type 2 E-2&lt;/chassisuilabel&gt;_x000D_
			&lt;chassistype&gt;25&lt;/chassistype&gt;_x000D_
		&lt;/chassis&gt;_x000D_
</v>
      </c>
    </row>
    <row r="80" spans="2:9" x14ac:dyDescent="0.25">
      <c r="B80" t="s">
        <v>25</v>
      </c>
      <c r="C80">
        <v>2</v>
      </c>
      <c r="D80">
        <v>7</v>
      </c>
      <c r="G80" t="s">
        <v>140</v>
      </c>
      <c r="H80">
        <v>21</v>
      </c>
      <c r="I80" t="str">
        <f>CHASSIS(D80,E80,F80,G80,H80)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&lt;chassisuilabel&gt;Order Distributer Unit D-1&lt;/chassisuilabel&gt;_x000D_
			&lt;chassistype&gt;21&lt;/chassistype&gt;_x000D_
		&lt;/chassis&gt;_x000D_
</v>
      </c>
    </row>
    <row r="81" spans="2:9" x14ac:dyDescent="0.25">
      <c r="B81" t="s">
        <v>25</v>
      </c>
      <c r="C81">
        <v>2</v>
      </c>
      <c r="D81">
        <v>6</v>
      </c>
      <c r="G81" t="s">
        <v>141</v>
      </c>
      <c r="H81">
        <v>22</v>
      </c>
      <c r="I81" t="str">
        <f>CHASSIS(D81,E81,F81,G81,H81)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&lt;chassisuilabel&gt;Order Secondary Decoder Type 1 C-1&lt;/chassisuilabel&gt;_x000D_
			&lt;chassistype&gt;22&lt;/chassistype&gt;_x000D_
		&lt;/chassis&gt;_x000D_
</v>
      </c>
    </row>
    <row r="82" spans="2:9" x14ac:dyDescent="0.25">
      <c r="B82" t="s">
        <v>25</v>
      </c>
      <c r="C82">
        <v>2</v>
      </c>
      <c r="D82">
        <v>5</v>
      </c>
      <c r="G82" t="s">
        <v>142</v>
      </c>
      <c r="H82">
        <v>23</v>
      </c>
      <c r="I82" t="str">
        <f>CHASSIS(D82,E82,F82,G82,H82)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&lt;chassisuilabel&gt;Order Secondary Decoder Type 2 C-2&lt;/chassisuilabel&gt;_x000D_
			&lt;chassistype&gt;23&lt;/chassistype&gt;_x000D_
		&lt;/chassis&gt;_x000D_
</v>
      </c>
    </row>
    <row r="83" spans="2:9" x14ac:dyDescent="0.25">
      <c r="B83" t="s">
        <v>25</v>
      </c>
      <c r="C83">
        <v>2</v>
      </c>
      <c r="D83">
        <v>4</v>
      </c>
      <c r="G83" t="s">
        <v>143</v>
      </c>
      <c r="H83">
        <v>21</v>
      </c>
      <c r="I83" t="str">
        <f>CHASSIS(D83,E83,F83,G83,H83)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&lt;chassisuilabel&gt;Order Distributer Unit D-2&lt;/chassisuilabel&gt;_x000D_
			&lt;chassistype&gt;21&lt;/chassistype&gt;_x000D_
		&lt;/chassis&gt;_x000D_
</v>
      </c>
    </row>
    <row r="84" spans="2:9" x14ac:dyDescent="0.25">
      <c r="B84" t="s">
        <v>25</v>
      </c>
      <c r="C84">
        <v>2</v>
      </c>
      <c r="D84">
        <v>3</v>
      </c>
      <c r="G84" t="s">
        <v>144</v>
      </c>
      <c r="H84">
        <v>22</v>
      </c>
      <c r="I84" t="str">
        <f>CHASSIS(D84,E84,F84,G84,H84)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&lt;chassisuilabel&gt;Order Secondary Decoder Type 1 C-3&lt;/chassisuilabel&gt;_x000D_
			&lt;chassistype&gt;22&lt;/chassistype&gt;_x000D_
		&lt;/chassis&gt;_x000D_
</v>
      </c>
    </row>
    <row r="85" spans="2:9" x14ac:dyDescent="0.25">
      <c r="B85" t="s">
        <v>25</v>
      </c>
      <c r="C85">
        <v>2</v>
      </c>
      <c r="D85">
        <v>2</v>
      </c>
      <c r="G85" t="s">
        <v>145</v>
      </c>
      <c r="H85">
        <v>22</v>
      </c>
      <c r="I85" t="str">
        <f>CHASSIS(D85,E85,F85,G85,H85)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&lt;chassisuilabel&gt;Order Secondary Decoder Type 1 C-4&lt;/chassisuilabel&gt;_x000D_
			&lt;chassistype&gt;22&lt;/chassistype&gt;_x000D_
		&lt;/chassis&gt;_x000D_
</v>
      </c>
    </row>
    <row r="86" spans="2:9" x14ac:dyDescent="0.25">
      <c r="B86" t="s">
        <v>25</v>
      </c>
      <c r="C86">
        <v>2</v>
      </c>
      <c r="D86">
        <v>1</v>
      </c>
      <c r="G86" t="s">
        <v>134</v>
      </c>
      <c r="H86">
        <v>38</v>
      </c>
      <c r="I86" t="str">
        <f>CHASSIS(D86,E86,F86,G86,H86)</f>
        <v xml:space="preserve">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</v>
      </c>
    </row>
    <row r="87" spans="2:9" x14ac:dyDescent="0.25">
      <c r="B87" t="s">
        <v>25</v>
      </c>
      <c r="C87">
        <v>3</v>
      </c>
      <c r="D87">
        <v>13</v>
      </c>
      <c r="G87" t="s">
        <v>146</v>
      </c>
      <c r="H87">
        <v>14</v>
      </c>
      <c r="I87" t="str">
        <f>CHASSIS(D87,E87,F87,G87,H87)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&lt;chassisuilabel&gt;Rack Decoder&lt;/chassisuilabel&gt;_x000D_
			&lt;chassistype&gt;14&lt;/chassistype&gt;_x000D_
		&lt;/chassis&gt;_x000D_
</v>
      </c>
    </row>
    <row r="88" spans="2:9" x14ac:dyDescent="0.25">
      <c r="B88" t="s">
        <v>25</v>
      </c>
      <c r="C88">
        <v>3</v>
      </c>
      <c r="D88">
        <v>12</v>
      </c>
      <c r="G88" t="s">
        <v>147</v>
      </c>
      <c r="H88">
        <v>10</v>
      </c>
      <c r="I88" t="str">
        <f>CHASSIS(D88,E88,F88,G88,H88)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&lt;chassisuilabel&gt;Rack Distribution Logic&lt;/chassisuilabel&gt;_x000D_
			&lt;chassistype&gt;10&lt;/chassistype&gt;_x000D_
		&lt;/chassis&gt;_x000D_
</v>
      </c>
    </row>
    <row r="89" spans="2:9" x14ac:dyDescent="0.25">
      <c r="B89" t="s">
        <v>25</v>
      </c>
      <c r="C89">
        <v>3</v>
      </c>
      <c r="D89">
        <v>11</v>
      </c>
      <c r="G89" t="s">
        <v>148</v>
      </c>
      <c r="H89">
        <v>9</v>
      </c>
      <c r="I89" t="str">
        <f>CHASSIS(D89,E89,F89,G89,H89)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&lt;chassisuilabel&gt;Tank Flashing Unit Controls&lt;/chassisuilabel&gt;_x000D_
			&lt;chassistype&gt;9&lt;/chassistype&gt;_x000D_
		&lt;/chassis&gt;_x000D_
</v>
      </c>
    </row>
    <row r="90" spans="2:9" x14ac:dyDescent="0.25">
      <c r="B90" t="s">
        <v>25</v>
      </c>
      <c r="C90">
        <v>3</v>
      </c>
      <c r="D90">
        <v>10</v>
      </c>
      <c r="G90" t="s">
        <v>149</v>
      </c>
      <c r="H90">
        <v>8</v>
      </c>
      <c r="I90" t="str">
        <f>CHASSIS(D90,E90,F90,G90,H90)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</v>
      </c>
    </row>
    <row r="91" spans="2:9" x14ac:dyDescent="0.25">
      <c r="B91" t="s">
        <v>25</v>
      </c>
      <c r="C91">
        <v>3</v>
      </c>
      <c r="D91">
        <v>9</v>
      </c>
      <c r="G91" t="s">
        <v>149</v>
      </c>
      <c r="H91">
        <v>8</v>
      </c>
      <c r="I91" t="str">
        <f>CHASSIS(D91,E91,F91,G91,H91)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</v>
      </c>
    </row>
    <row r="92" spans="2:9" x14ac:dyDescent="0.25">
      <c r="B92" t="s">
        <v>25</v>
      </c>
      <c r="C92">
        <v>3</v>
      </c>
      <c r="D92">
        <v>8</v>
      </c>
      <c r="G92" t="s">
        <v>149</v>
      </c>
      <c r="H92">
        <v>8</v>
      </c>
      <c r="I92" t="str">
        <f>CHASSIS(D92,E92,F92,G92,H92)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</v>
      </c>
    </row>
    <row r="93" spans="2:9" x14ac:dyDescent="0.25">
      <c r="B93" t="s">
        <v>25</v>
      </c>
      <c r="C93">
        <v>3</v>
      </c>
      <c r="D93">
        <v>7</v>
      </c>
      <c r="G93" t="s">
        <v>150</v>
      </c>
      <c r="H93">
        <v>48</v>
      </c>
      <c r="I93" t="str">
        <f>CHASSIS(D93,E93,F93,G93,H93)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&lt;chassisuilabel&gt;Operator's Control Unit&lt;/chassisuilabel&gt;_x000D_
			&lt;chassistype&gt;48&lt;/chassistype&gt;_x000D_
		&lt;/chassis&gt;_x000D_
</v>
      </c>
    </row>
    <row r="94" spans="2:9" x14ac:dyDescent="0.25">
      <c r="B94" t="s">
        <v>25</v>
      </c>
      <c r="C94">
        <v>3</v>
      </c>
      <c r="D94">
        <v>5</v>
      </c>
      <c r="G94" t="s">
        <v>151</v>
      </c>
      <c r="H94">
        <v>20</v>
      </c>
      <c r="I94" t="str">
        <f>CHASSIS(D94,E94,F94,G94,H94)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&lt;chassisuilabel&gt;Order Primary Decoder B-1&lt;/chassisuilabel&gt;_x000D_
			&lt;chassistype&gt;20&lt;/chassistype&gt;_x000D_
		&lt;/chassis&gt;_x000D_
</v>
      </c>
    </row>
    <row r="95" spans="2:9" x14ac:dyDescent="0.25">
      <c r="B95" t="s">
        <v>25</v>
      </c>
      <c r="C95">
        <v>3</v>
      </c>
      <c r="D95">
        <v>4</v>
      </c>
      <c r="G95" t="s">
        <v>152</v>
      </c>
      <c r="H95">
        <v>18</v>
      </c>
      <c r="I95" t="str">
        <f>CHASSIS(D95,E95,F95,G95,H95)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&lt;chassisuilabel&gt;Order Flashing Unit Type 1 A-1&lt;/chassisuilabel&gt;_x000D_
			&lt;chassistype&gt;18&lt;/chassistype&gt;_x000D_
		&lt;/chassis&gt;_x000D_
</v>
      </c>
    </row>
    <row r="96" spans="2:9" x14ac:dyDescent="0.25">
      <c r="B96" t="s">
        <v>25</v>
      </c>
      <c r="C96">
        <v>3</v>
      </c>
      <c r="D96">
        <v>3</v>
      </c>
      <c r="G96" t="s">
        <v>153</v>
      </c>
      <c r="H96">
        <v>19</v>
      </c>
      <c r="I96" t="str">
        <f>CHASSIS(D96,E96,F96,G96,H96)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&lt;chassisuilabel&gt;Order Flashing Unit Type 2 A-2&lt;/chassisuilabel&gt;_x000D_
			&lt;chassistype&gt;19&lt;/chassistype&gt;_x000D_
		&lt;/chassis&gt;_x000D_
</v>
      </c>
    </row>
    <row r="97" spans="2:9" x14ac:dyDescent="0.25">
      <c r="B97" t="s">
        <v>25</v>
      </c>
      <c r="C97">
        <v>3</v>
      </c>
      <c r="D97">
        <v>2</v>
      </c>
      <c r="G97" t="s">
        <v>154</v>
      </c>
      <c r="H97">
        <v>19</v>
      </c>
      <c r="I97" t="str">
        <f>CHASSIS(D97,E97,F97,G97,H97)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&lt;chassisuilabel&gt;Order Flashing Unit Type 2 A-3&lt;/chassisuilabel&gt;_x000D_
			&lt;chassistype&gt;19&lt;/chassistype&gt;_x000D_
		&lt;/chassis&gt;_x000D_
</v>
      </c>
    </row>
    <row r="98" spans="2:9" x14ac:dyDescent="0.25">
      <c r="B98" t="s">
        <v>25</v>
      </c>
      <c r="C98">
        <v>3</v>
      </c>
      <c r="D98">
        <v>1</v>
      </c>
      <c r="G98" t="s">
        <v>134</v>
      </c>
      <c r="H98">
        <v>38</v>
      </c>
      <c r="I98" t="str">
        <f>CHASSIS(D98,E98,F98,G98,H98)</f>
        <v xml:space="preserve">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</v>
      </c>
    </row>
    <row r="99" spans="2:9" x14ac:dyDescent="0.25">
      <c r="B99" t="s">
        <v>26</v>
      </c>
      <c r="C99">
        <v>1</v>
      </c>
      <c r="D99">
        <v>13</v>
      </c>
      <c r="G99" t="s">
        <v>83</v>
      </c>
      <c r="H99">
        <v>1</v>
      </c>
      <c r="I99" t="str">
        <f>CHASSIS(D99,E99,F99,G99,H99)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0" spans="2:9" x14ac:dyDescent="0.25">
      <c r="B100" t="s">
        <v>26</v>
      </c>
      <c r="C100">
        <v>1</v>
      </c>
      <c r="D100">
        <v>12</v>
      </c>
      <c r="G100" t="s">
        <v>83</v>
      </c>
      <c r="H100">
        <v>1</v>
      </c>
      <c r="I100" t="str">
        <f>CHASSIS(D100,E100,F100,G100,H100)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1" spans="2:9" x14ac:dyDescent="0.25">
      <c r="B101" t="s">
        <v>26</v>
      </c>
      <c r="C101">
        <v>1</v>
      </c>
      <c r="D101">
        <v>11</v>
      </c>
      <c r="G101" t="s">
        <v>83</v>
      </c>
      <c r="H101">
        <v>1</v>
      </c>
      <c r="I101" t="str">
        <f>CHASSIS(D101,E101,F101,G101,H101)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2" spans="2:9" x14ac:dyDescent="0.25">
      <c r="B102" t="s">
        <v>26</v>
      </c>
      <c r="C102">
        <v>1</v>
      </c>
      <c r="D102">
        <v>10</v>
      </c>
      <c r="G102" t="s">
        <v>83</v>
      </c>
      <c r="H102">
        <v>1</v>
      </c>
      <c r="I102" t="str">
        <f>CHASSIS(D102,E102,F102,G102,H102)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3" spans="2:9" x14ac:dyDescent="0.25">
      <c r="B103" t="s">
        <v>26</v>
      </c>
      <c r="C103">
        <v>1</v>
      </c>
      <c r="D103">
        <v>9</v>
      </c>
      <c r="G103" t="s">
        <v>84</v>
      </c>
      <c r="H103">
        <v>4</v>
      </c>
      <c r="I103" t="str">
        <f>CHASSIS(D103,E103,F103,G103,H103)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04" spans="2:9" x14ac:dyDescent="0.25">
      <c r="B104" t="s">
        <v>26</v>
      </c>
      <c r="C104">
        <v>1</v>
      </c>
      <c r="D104">
        <v>8</v>
      </c>
      <c r="G104" t="s">
        <v>85</v>
      </c>
      <c r="H104">
        <v>6</v>
      </c>
      <c r="I104" t="str">
        <f>CHASSIS(D104,E104,F104,G104,H104)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</v>
      </c>
    </row>
    <row r="105" spans="2:9" x14ac:dyDescent="0.25">
      <c r="B105" t="s">
        <v>26</v>
      </c>
      <c r="C105">
        <v>1</v>
      </c>
      <c r="D105">
        <v>7</v>
      </c>
      <c r="G105" t="s">
        <v>86</v>
      </c>
      <c r="H105">
        <v>5</v>
      </c>
      <c r="I105" t="str">
        <f>CHASSIS(D105,E105,F105,G105,H105)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</v>
      </c>
    </row>
    <row r="106" spans="2:9" x14ac:dyDescent="0.25">
      <c r="B106" t="s">
        <v>26</v>
      </c>
      <c r="C106">
        <v>1</v>
      </c>
      <c r="D106">
        <v>6</v>
      </c>
      <c r="G106" t="s">
        <v>84</v>
      </c>
      <c r="H106">
        <v>4</v>
      </c>
      <c r="I106" t="str">
        <f>CHASSIS(D106,E106,F106,G106,H106)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07" spans="2:9" x14ac:dyDescent="0.25">
      <c r="B107" t="s">
        <v>26</v>
      </c>
      <c r="C107">
        <v>1</v>
      </c>
      <c r="D107">
        <v>5</v>
      </c>
      <c r="G107" t="s">
        <v>83</v>
      </c>
      <c r="H107">
        <v>1</v>
      </c>
      <c r="I107" t="str">
        <f>CHASSIS(D107,E107,F107,G107,H107)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8" spans="2:9" x14ac:dyDescent="0.25">
      <c r="B108" t="s">
        <v>26</v>
      </c>
      <c r="C108">
        <v>1</v>
      </c>
      <c r="D108">
        <v>4</v>
      </c>
      <c r="G108" t="s">
        <v>83</v>
      </c>
      <c r="H108">
        <v>1</v>
      </c>
      <c r="I108" t="str">
        <f>CHASSIS(D108,E108,F108,G108,H108)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9" spans="2:9" x14ac:dyDescent="0.25">
      <c r="B109" t="s">
        <v>26</v>
      </c>
      <c r="C109">
        <v>1</v>
      </c>
      <c r="D109">
        <v>3</v>
      </c>
      <c r="G109" t="s">
        <v>83</v>
      </c>
      <c r="H109">
        <v>1</v>
      </c>
      <c r="I109" t="str">
        <f>CHASSIS(D109,E109,F109,G109,H109)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0" spans="2:9" x14ac:dyDescent="0.25">
      <c r="B110" t="s">
        <v>26</v>
      </c>
      <c r="C110">
        <v>1</v>
      </c>
      <c r="D110">
        <v>2</v>
      </c>
      <c r="G110" t="s">
        <v>83</v>
      </c>
      <c r="H110">
        <v>1</v>
      </c>
      <c r="I110" t="str">
        <f>CHASSIS(D110,E110,F110,G110,H110)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1" spans="2:9" x14ac:dyDescent="0.25">
      <c r="B111" t="s">
        <v>26</v>
      </c>
      <c r="C111">
        <v>2</v>
      </c>
      <c r="D111">
        <v>13</v>
      </c>
      <c r="G111" t="s">
        <v>83</v>
      </c>
      <c r="H111">
        <v>1</v>
      </c>
      <c r="I111" t="str">
        <f>CHASSIS(D111,E111,F111,G111,H111)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2" spans="2:9" x14ac:dyDescent="0.25">
      <c r="B112" t="s">
        <v>26</v>
      </c>
      <c r="C112">
        <v>2</v>
      </c>
      <c r="D112">
        <v>12</v>
      </c>
      <c r="G112" t="s">
        <v>83</v>
      </c>
      <c r="H112">
        <v>1</v>
      </c>
      <c r="I112" t="str">
        <f>CHASSIS(D112,E112,F112,G112,H112)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3" spans="2:9" x14ac:dyDescent="0.25">
      <c r="B113" t="s">
        <v>26</v>
      </c>
      <c r="C113">
        <v>2</v>
      </c>
      <c r="D113">
        <v>11</v>
      </c>
      <c r="G113" t="s">
        <v>83</v>
      </c>
      <c r="H113">
        <v>1</v>
      </c>
      <c r="I113" t="str">
        <f>CHASSIS(D113,E113,F113,G113,H113)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4" spans="2:9" x14ac:dyDescent="0.25">
      <c r="B114" t="s">
        <v>26</v>
      </c>
      <c r="C114">
        <v>2</v>
      </c>
      <c r="D114">
        <v>10</v>
      </c>
      <c r="G114" t="s">
        <v>83</v>
      </c>
      <c r="H114">
        <v>1</v>
      </c>
      <c r="I114" t="str">
        <f>CHASSIS(D114,E114,F114,G114,H114)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5" spans="2:9" x14ac:dyDescent="0.25">
      <c r="B115" t="s">
        <v>26</v>
      </c>
      <c r="C115">
        <v>2</v>
      </c>
      <c r="D115">
        <v>9</v>
      </c>
      <c r="G115" t="s">
        <v>84</v>
      </c>
      <c r="H115">
        <v>4</v>
      </c>
      <c r="I115" t="str">
        <f>CHASSIS(D115,E115,F115,G115,H115)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16" spans="2:9" x14ac:dyDescent="0.25">
      <c r="B116" t="s">
        <v>26</v>
      </c>
      <c r="C116">
        <v>2</v>
      </c>
      <c r="D116">
        <v>8</v>
      </c>
      <c r="G116" t="s">
        <v>85</v>
      </c>
      <c r="H116">
        <v>6</v>
      </c>
      <c r="I116" t="str">
        <f>CHASSIS(D116,E116,F116,G116,H116)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</v>
      </c>
    </row>
    <row r="117" spans="2:9" x14ac:dyDescent="0.25">
      <c r="B117" t="s">
        <v>26</v>
      </c>
      <c r="C117">
        <v>2</v>
      </c>
      <c r="D117">
        <v>7</v>
      </c>
      <c r="G117" t="s">
        <v>86</v>
      </c>
      <c r="H117">
        <v>5</v>
      </c>
      <c r="I117" t="str">
        <f>CHASSIS(D117,E117,F117,G117,H117)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</v>
      </c>
    </row>
    <row r="118" spans="2:9" x14ac:dyDescent="0.25">
      <c r="B118" t="s">
        <v>26</v>
      </c>
      <c r="C118">
        <v>2</v>
      </c>
      <c r="D118">
        <v>6</v>
      </c>
      <c r="G118" t="s">
        <v>84</v>
      </c>
      <c r="H118">
        <v>4</v>
      </c>
      <c r="I118" t="str">
        <f>CHASSIS(D118,E118,F118,G118,H118)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19" spans="2:9" x14ac:dyDescent="0.25">
      <c r="B119" t="s">
        <v>26</v>
      </c>
      <c r="C119">
        <v>2</v>
      </c>
      <c r="D119">
        <v>5</v>
      </c>
      <c r="G119" t="s">
        <v>83</v>
      </c>
      <c r="H119">
        <v>1</v>
      </c>
      <c r="I119" t="str">
        <f>CHASSIS(D119,E119,F119,G119,H119)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20" spans="2:9" x14ac:dyDescent="0.25">
      <c r="B120" t="s">
        <v>26</v>
      </c>
      <c r="C120">
        <v>2</v>
      </c>
      <c r="D120">
        <v>4</v>
      </c>
      <c r="G120" t="s">
        <v>83</v>
      </c>
      <c r="H120">
        <v>1</v>
      </c>
      <c r="I120" t="str">
        <f>CHASSIS(D120,E120,F120,G120,H120)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21" spans="2:9" x14ac:dyDescent="0.25">
      <c r="B121" t="s">
        <v>26</v>
      </c>
      <c r="C121">
        <v>2</v>
      </c>
      <c r="D121">
        <v>3</v>
      </c>
      <c r="G121" t="s">
        <v>83</v>
      </c>
      <c r="H121">
        <v>1</v>
      </c>
      <c r="I121" t="str">
        <f>CHASSIS(D121,E121,F121,G121,H121)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22" spans="2:9" x14ac:dyDescent="0.25">
      <c r="B122" t="s">
        <v>26</v>
      </c>
      <c r="C122">
        <v>2</v>
      </c>
      <c r="D122">
        <v>2</v>
      </c>
      <c r="G122" t="s">
        <v>83</v>
      </c>
      <c r="H122">
        <v>1</v>
      </c>
      <c r="I122" t="str">
        <f>CHASSIS(D122,E122,F122,G122,H122)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23" spans="2:9" x14ac:dyDescent="0.25">
      <c r="B123" t="s">
        <v>26</v>
      </c>
      <c r="C123">
        <v>3</v>
      </c>
      <c r="D123">
        <v>13</v>
      </c>
      <c r="G123" t="s">
        <v>155</v>
      </c>
      <c r="H123" t="s">
        <v>112</v>
      </c>
      <c r="I123" t="str">
        <f>CHASSIS(D123,E123,F123,G123,H123)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&lt;chassisuilabel&gt;Clock Monitor&lt;/chassisuilabel&gt;_x000D_
			&lt;chassistype&gt;??&lt;/chassistype&gt;_x000D_
		&lt;/chassis&gt;_x000D_
</v>
      </c>
    </row>
    <row r="124" spans="2:9" x14ac:dyDescent="0.25">
      <c r="B124" t="s">
        <v>26</v>
      </c>
      <c r="C124">
        <v>3</v>
      </c>
      <c r="D124">
        <v>12</v>
      </c>
      <c r="G124" t="s">
        <v>156</v>
      </c>
      <c r="H124">
        <v>2</v>
      </c>
      <c r="I124" t="str">
        <f>CHASSIS(D124,E124,F124,G124,H124)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&lt;chassisuilabel&gt;Clock Pulse Generator&lt;/chassisuilabel&gt;_x000D_
			&lt;chassistype&gt;2&lt;/chassistype&gt;_x000D_
		&lt;/chassis&gt;_x000D_
</v>
      </c>
    </row>
    <row r="125" spans="2:9" x14ac:dyDescent="0.25">
      <c r="B125" t="s">
        <v>26</v>
      </c>
      <c r="C125">
        <v>3</v>
      </c>
      <c r="D125">
        <v>10</v>
      </c>
      <c r="G125" t="s">
        <v>157</v>
      </c>
      <c r="H125">
        <v>30</v>
      </c>
      <c r="I125" t="str">
        <f>CHASSIS(D125,E125,F125,G125,H125)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&lt;chassisuilabel&gt;Clock Pulse Distributor (DU1)&lt;/chassisuilabel&gt;_x000D_
			&lt;chassistype&gt;30&lt;/chassistype&gt;_x000D_
		&lt;/chassis&gt;_x000D_
</v>
      </c>
    </row>
    <row r="126" spans="2:9" x14ac:dyDescent="0.25">
      <c r="B126" t="s">
        <v>26</v>
      </c>
      <c r="C126">
        <v>3</v>
      </c>
      <c r="D126">
        <v>9</v>
      </c>
      <c r="G126" t="s">
        <v>158</v>
      </c>
      <c r="H126">
        <v>31</v>
      </c>
      <c r="I126" t="str">
        <f>CHASSIS(D126,E126,F126,G126,H126)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&lt;chassisuilabel&gt;Digit Pulse Distributor (DU2)&lt;/chassisuilabel&gt;_x000D_
			&lt;chassistype&gt;31&lt;/chassistype&gt;_x000D_
		&lt;/chassis&gt;_x000D_
</v>
      </c>
    </row>
    <row r="127" spans="2:9" x14ac:dyDescent="0.25">
      <c r="B127" t="s">
        <v>26</v>
      </c>
      <c r="C127">
        <v>3</v>
      </c>
      <c r="D127">
        <v>8</v>
      </c>
      <c r="G127" t="s">
        <v>159</v>
      </c>
      <c r="H127">
        <v>15</v>
      </c>
      <c r="I127" t="str">
        <f>CHASSIS(D127,E127,F127,G127,H127)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</v>
      </c>
    </row>
    <row r="128" spans="2:9" x14ac:dyDescent="0.25">
      <c r="B128" t="s">
        <v>26</v>
      </c>
      <c r="C128">
        <v>3</v>
      </c>
      <c r="D128">
        <v>7</v>
      </c>
      <c r="G128" t="s">
        <v>159</v>
      </c>
      <c r="H128">
        <v>15</v>
      </c>
      <c r="I128" t="str">
        <f>CHASSIS(D128,E128,F128,G128,H128)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</v>
      </c>
    </row>
    <row r="129" spans="2:9" x14ac:dyDescent="0.25">
      <c r="B129" t="s">
        <v>26</v>
      </c>
      <c r="C129">
        <v>3</v>
      </c>
      <c r="D129">
        <v>6</v>
      </c>
      <c r="G129" t="s">
        <v>160</v>
      </c>
      <c r="H129">
        <v>3</v>
      </c>
      <c r="I129" t="str">
        <f>CHASSIS(D129,E129,F129,G129,H129)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0" spans="2:9" x14ac:dyDescent="0.25">
      <c r="B130" t="s">
        <v>26</v>
      </c>
      <c r="C130">
        <v>3</v>
      </c>
      <c r="D130">
        <v>5</v>
      </c>
      <c r="G130" t="s">
        <v>160</v>
      </c>
      <c r="H130">
        <v>3</v>
      </c>
      <c r="I130" t="str">
        <f>CHASSIS(D130,E130,F130,G130,H130)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1" spans="2:9" x14ac:dyDescent="0.25">
      <c r="B131" t="s">
        <v>26</v>
      </c>
      <c r="C131">
        <v>3</v>
      </c>
      <c r="D131">
        <v>4</v>
      </c>
      <c r="G131" t="s">
        <v>160</v>
      </c>
      <c r="H131">
        <v>3</v>
      </c>
      <c r="I131" t="str">
        <f>CHASSIS(D131,E131,F131,G131,H131)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2" spans="2:9" x14ac:dyDescent="0.25">
      <c r="B132" t="s">
        <v>26</v>
      </c>
      <c r="C132">
        <v>3</v>
      </c>
      <c r="D132">
        <v>3</v>
      </c>
      <c r="G132" t="s">
        <v>160</v>
      </c>
      <c r="H132">
        <v>3</v>
      </c>
      <c r="I132" t="str">
        <f>CHASSIS(D132,E132,F132,G132,H132)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3" spans="2:9" x14ac:dyDescent="0.25">
      <c r="B133" t="s">
        <v>26</v>
      </c>
      <c r="C133">
        <v>3</v>
      </c>
      <c r="D133">
        <v>2</v>
      </c>
      <c r="G133" t="s">
        <v>160</v>
      </c>
      <c r="H133">
        <v>3</v>
      </c>
      <c r="I133" t="str">
        <f>CHASSIS(D133,E133,F133,G133,H133)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4" spans="2:9" x14ac:dyDescent="0.25">
      <c r="B134" t="s">
        <v>26</v>
      </c>
      <c r="C134">
        <v>3</v>
      </c>
      <c r="D134">
        <v>1</v>
      </c>
      <c r="G134" t="s">
        <v>161</v>
      </c>
      <c r="H134">
        <v>38</v>
      </c>
      <c r="I134" t="str">
        <f>CHASSIS(D134,E134,F134,G134,H134)</f>
        <v xml:space="preserve">		&lt;chassis&gt;_x000D_
			&lt;chassisnumber&gt;1&lt;/chassisnumber&gt;_x000D_
			&lt;chassisworldlabeltext&gt;&lt;/chassisworldlabeltext&gt;_x000D_
			&lt;chassisworldlabelnumber&gt;&lt;/chassisworldlabelnumber&gt;_x000D_
			&lt;chassisuilabel&gt;Negative PSU&lt;/chassisuilabel&gt;_x000D_
			&lt;chassistype&gt;38&lt;/chassistype&gt;_x000D_
		&lt;/chassis&gt;_x000D_
</v>
      </c>
    </row>
    <row r="135" spans="2:9" x14ac:dyDescent="0.25">
      <c r="B135" t="s">
        <v>26</v>
      </c>
      <c r="C135">
        <v>4</v>
      </c>
      <c r="D135">
        <v>13</v>
      </c>
      <c r="G135" t="s">
        <v>162</v>
      </c>
      <c r="H135">
        <v>39</v>
      </c>
      <c r="I135" t="str">
        <f>CHASSIS(D135,E135,F135,G135,H135)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&lt;chassisuilabel&gt;Initial Orders Uniselectors&lt;/chassisuilabel&gt;_x000D_
			&lt;chassistype&gt;39&lt;/chassistype&gt;_x000D_
		&lt;/chassis&gt;_x000D_
</v>
      </c>
    </row>
    <row r="136" spans="2:9" x14ac:dyDescent="0.25">
      <c r="B136" t="s">
        <v>26</v>
      </c>
      <c r="C136">
        <v>4</v>
      </c>
      <c r="D136">
        <v>11</v>
      </c>
      <c r="G136" t="s">
        <v>163</v>
      </c>
      <c r="H136" t="s">
        <v>112</v>
      </c>
      <c r="I136" t="str">
        <f>CHASSIS(D136,E136,F136,G136,H136)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&lt;chassisuilabel&gt;Initial Input Unit 1&lt;/chassisuilabel&gt;_x000D_
			&lt;chassistype&gt;??&lt;/chassistype&gt;_x000D_
		&lt;/chassis&gt;_x000D_
</v>
      </c>
    </row>
    <row r="137" spans="2:9" x14ac:dyDescent="0.25">
      <c r="B137" t="s">
        <v>26</v>
      </c>
      <c r="C137">
        <v>4</v>
      </c>
      <c r="D137">
        <v>10</v>
      </c>
      <c r="G137" t="s">
        <v>164</v>
      </c>
      <c r="H137" t="s">
        <v>112</v>
      </c>
      <c r="I137" t="str">
        <f>CHASSIS(D137,E137,F137,G137,H137)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&lt;chassisuilabel&gt;Initial Input Unit 2&lt;/chassisuilabel&gt;_x000D_
			&lt;chassistype&gt;??&lt;/chassistype&gt;_x000D_
		&lt;/chassis&gt;_x000D_
</v>
      </c>
    </row>
    <row r="138" spans="2:9" x14ac:dyDescent="0.25">
      <c r="B138" t="s">
        <v>26</v>
      </c>
      <c r="C138">
        <v>4</v>
      </c>
      <c r="D138">
        <v>9</v>
      </c>
      <c r="G138" t="s">
        <v>165</v>
      </c>
      <c r="H138">
        <v>54</v>
      </c>
      <c r="I138" t="str">
        <f>CHASSIS(D138,E138,F138,G138,H138)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&lt;chassisuilabel&gt;Manual Order Unit&lt;/chassisuilabel&gt;_x000D_
			&lt;chassistype&gt;54&lt;/chassistype&gt;_x000D_
		&lt;/chassis&gt;_x000D_
</v>
      </c>
    </row>
    <row r="139" spans="2:9" x14ac:dyDescent="0.25">
      <c r="B139" t="s">
        <v>26</v>
      </c>
      <c r="C139">
        <v>4</v>
      </c>
      <c r="D139">
        <v>8</v>
      </c>
      <c r="G139" t="s">
        <v>166</v>
      </c>
      <c r="H139" t="s">
        <v>112</v>
      </c>
      <c r="I139" t="str">
        <f>CHASSIS(D139,E139,F139,G139,H139)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&lt;chassisuilabel&gt;Paper Tape Unit 1&lt;/chassisuilabel&gt;_x000D_
			&lt;chassistype&gt;??&lt;/chassistype&gt;_x000D_
		&lt;/chassis&gt;_x000D_
</v>
      </c>
    </row>
    <row r="140" spans="2:9" x14ac:dyDescent="0.25">
      <c r="B140" t="s">
        <v>26</v>
      </c>
      <c r="C140">
        <v>4</v>
      </c>
      <c r="D140">
        <v>7</v>
      </c>
      <c r="G140" t="s">
        <v>167</v>
      </c>
      <c r="H140" t="s">
        <v>112</v>
      </c>
      <c r="I140" t="str">
        <f>CHASSIS(D140,E140,F140,G140,H140)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&lt;chassisuilabel&gt;Paper Tape Unit 2&lt;/chassisuilabel&gt;_x000D_
			&lt;chassistype&gt;??&lt;/chassistype&gt;_x000D_
		&lt;/chassis&gt;_x000D_
</v>
      </c>
    </row>
    <row r="141" spans="2:9" x14ac:dyDescent="0.25">
      <c r="B141" t="s">
        <v>26</v>
      </c>
      <c r="C141">
        <v>4</v>
      </c>
      <c r="D141">
        <v>6</v>
      </c>
      <c r="G141" t="s">
        <v>168</v>
      </c>
      <c r="H141" t="s">
        <v>112</v>
      </c>
      <c r="I141" t="str">
        <f>CHASSIS(D141,E141,F141,G141,H141)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&lt;chassisuilabel&gt;Printer Unit 1&lt;/chassisuilabel&gt;_x000D_
			&lt;chassistype&gt;??&lt;/chassistype&gt;_x000D_
		&lt;/chassis&gt;_x000D_
</v>
      </c>
    </row>
    <row r="142" spans="2:9" x14ac:dyDescent="0.25">
      <c r="B142" t="s">
        <v>26</v>
      </c>
      <c r="C142">
        <v>4</v>
      </c>
      <c r="D142">
        <v>5</v>
      </c>
      <c r="G142" t="s">
        <v>169</v>
      </c>
      <c r="H142" t="s">
        <v>112</v>
      </c>
      <c r="I142" t="str">
        <f>CHASSIS(D142,E142,F142,G142,H142)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&lt;chassisuilabel&gt;Printer Unit 2&lt;/chassisuilabel&gt;_x000D_
			&lt;chassistype&gt;??&lt;/chassistype&gt;_x000D_
		&lt;/chassis&gt;_x000D_
</v>
      </c>
    </row>
    <row r="143" spans="2:9" x14ac:dyDescent="0.25">
      <c r="B143" t="s">
        <v>26</v>
      </c>
      <c r="C143">
        <v>4</v>
      </c>
      <c r="D143">
        <v>4</v>
      </c>
      <c r="G143" t="s">
        <v>170</v>
      </c>
      <c r="H143" t="s">
        <v>112</v>
      </c>
      <c r="I143" t="str">
        <f>CHASSIS(D143,E143,F143,G143,H143)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&lt;chassisuilabel&gt;Printer Unit 3&lt;/chassisuilabel&gt;_x000D_
			&lt;chassistype&gt;??&lt;/chassistype&gt;_x000D_
		&lt;/chassis&gt;_x000D_
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EDSAC</vt:lpstr>
      <vt:lpstr>Chassis Definitions</vt:lpstr>
      <vt:lpstr>Valves</vt:lpstr>
      <vt:lpstr>Rows</vt:lpstr>
      <vt:lpstr>Racks</vt:lpstr>
      <vt:lpstr>Chassis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Stuart</dc:creator>
  <cp:lastModifiedBy>Chris Stuart</cp:lastModifiedBy>
  <dcterms:created xsi:type="dcterms:W3CDTF">2015-08-11T21:34:07Z</dcterms:created>
  <dcterms:modified xsi:type="dcterms:W3CDTF">2015-08-12T14:54:33Z</dcterms:modified>
</cp:coreProperties>
</file>